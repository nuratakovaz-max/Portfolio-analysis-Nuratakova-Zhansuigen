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Cohohrt 3 analysis" sheetId="3" r:id="rId7"/>
    <sheet state="visible" name="Yearly summarize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<sst xmlns="http://schemas.openxmlformats.org/spreadsheetml/2006/main" count="170" uniqueCount="55">
  <si>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</si>
  <si>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</si>
  <si>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</si>
  <si>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</si>
  <si>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</si>
  <si>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</si>
  <si>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</si>
  <si>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</si>
  <si>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</si>
  <si>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</si>
  <si>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 xml:space="preserve">AOF </t>
  </si>
  <si>
    <t>AOV</t>
  </si>
  <si>
    <t>TOTAL</t>
  </si>
  <si>
    <t>SUM из Profit</t>
  </si>
  <si>
    <t>SUM из Revenue</t>
  </si>
  <si>
    <t>Cummulative Profit</t>
  </si>
  <si>
    <t>Cummulative Revenue</t>
  </si>
  <si>
    <t>AOF</t>
  </si>
  <si>
    <t>SUM из # Customers</t>
  </si>
  <si>
    <t>Группа данных "Order Value =Revenue/Transactions"</t>
  </si>
  <si>
    <t>1,0 - 1,5</t>
  </si>
  <si>
    <t>$1 000 - $2 500</t>
  </si>
  <si>
    <t>1,5 - 2,0</t>
  </si>
  <si>
    <t>$2 500 - $4 000</t>
  </si>
  <si>
    <t>2,5 - 3,0</t>
  </si>
  <si>
    <t>$4 000 - $5 500</t>
  </si>
  <si>
    <t>5,5 - 6,0</t>
  </si>
  <si>
    <t>$5 500 - $7 000</t>
  </si>
  <si>
    <t>Итого</t>
  </si>
  <si>
    <t>$7 000 - $7 500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</si>
  <si>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</si>
  <si>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</si>
  <si>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</si>
  <si>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</si>
  <si>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</si>
  <si>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</si>
  <si>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</si>
  <si>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</si>
  <si>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</si>
  <si>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</si>
  <si>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</si>
  <si>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</si>
  <si>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</si>
  <si>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</si>
  <si>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</si>
  <si>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</si>
  <si>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</si>
  <si>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</si>
  <si>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</si>
  <si>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Quarter 2021Q3</t>
  </si>
  <si>
    <t>Q3 2021</t>
  </si>
  <si>
    <t>Q4 2021</t>
  </si>
  <si>
    <t>Q4 2022</t>
  </si>
  <si>
    <t>Quarter 2022Q4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</si>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</sst>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$-409]#,##0"/>
    <numFmt numFmtId="166" formatCode="0.0%"/>
    <numFmt numFmtId="167" formatCode="#,##0.0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b/>
      <sz val="12.0"/>
      <color rgb="FF9900FF"/>
      <name val="Arial"/>
      <scheme val="minor"/>
    </font>
    <font>
      <b/>
      <sz val="10.0"/>
      <color theme="1"/>
      <name val="Calibri"/>
    </font>
    <font>
      <b/>
      <sz val="12.0"/>
      <color rgb="FF99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7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bottom" wrapText="1"/>
    </xf>
    <xf borderId="0" fillId="2" fontId="1" numFmtId="10" xfId="0" applyAlignment="1" applyFont="1" applyNumberFormat="1">
      <alignment horizontal="right"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Font="1"/>
    <xf borderId="0" fillId="0" fontId="3" numFmtId="10" xfId="0" applyFont="1" applyNumberFormat="1"/>
    <xf borderId="1" fillId="3" fontId="1" numFmtId="0" xfId="0" applyAlignment="1" applyBorder="1" applyFill="1" applyFont="1">
      <alignment horizontal="right" vertical="bottom"/>
    </xf>
    <xf borderId="1" fillId="3" fontId="1" numFmtId="3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4" fontId="2" numFmtId="4" xfId="0" applyAlignment="1" applyFill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vertical="bottom"/>
    </xf>
    <xf borderId="0" fillId="4" fontId="2" numFmtId="9" xfId="0" applyAlignment="1" applyFont="1" applyNumberFormat="1">
      <alignment horizontal="right" vertical="bottom"/>
    </xf>
    <xf borderId="0" fillId="0" fontId="3" numFmtId="9" xfId="0" applyFont="1" applyNumberFormat="1"/>
    <xf borderId="0" fillId="0" fontId="3" numFmtId="164" xfId="0" applyFont="1" applyNumberFormat="1"/>
    <xf borderId="0" fillId="0" fontId="3" numFmtId="165" xfId="0" applyFont="1" applyNumberFormat="1"/>
    <xf borderId="2" fillId="3" fontId="1" numFmtId="0" xfId="0" applyAlignment="1" applyBorder="1" applyFont="1">
      <alignment horizontal="right" vertical="bottom"/>
    </xf>
    <xf borderId="2" fillId="3" fontId="1" numFmtId="3" xfId="0" applyAlignment="1" applyBorder="1" applyFont="1" applyNumberFormat="1">
      <alignment horizontal="right" vertical="bottom"/>
    </xf>
    <xf borderId="3" fillId="2" fontId="1" numFmtId="0" xfId="0" applyAlignment="1" applyBorder="1" applyFont="1">
      <alignment vertical="bottom"/>
    </xf>
    <xf borderId="3" fillId="2" fontId="1" numFmtId="3" xfId="0" applyAlignment="1" applyBorder="1" applyFont="1" applyNumberFormat="1">
      <alignment horizontal="right" vertical="bottom"/>
    </xf>
    <xf borderId="0" fillId="2" fontId="2" numFmtId="9" xfId="0" applyAlignment="1" applyFont="1" applyNumberFormat="1">
      <alignment horizontal="right" vertical="bottom"/>
    </xf>
    <xf borderId="0" fillId="2" fontId="2" numFmtId="10" xfId="0" applyAlignment="1" applyFont="1" applyNumberFormat="1">
      <alignment horizontal="right" vertical="bottom"/>
    </xf>
    <xf borderId="0" fillId="2" fontId="2" numFmtId="4" xfId="0" applyAlignment="1" applyFont="1" applyNumberFormat="1">
      <alignment vertical="bottom"/>
    </xf>
    <xf borderId="0" fillId="2" fontId="2" numFmtId="4" xfId="0" applyAlignment="1" applyFont="1" applyNumberForma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4" fillId="5" fontId="3" numFmtId="0" xfId="0" applyAlignment="1" applyBorder="1" applyFill="1" applyFont="1">
      <alignment horizontal="center" readingOrder="0" shrinkToFit="0" wrapText="1"/>
    </xf>
    <xf borderId="4" fillId="0" fontId="3" numFmtId="10" xfId="0" applyAlignment="1" applyBorder="1" applyFont="1" applyNumberFormat="1">
      <alignment readingOrder="0"/>
    </xf>
    <xf borderId="0" fillId="0" fontId="3" numFmtId="166" xfId="0" applyFont="1" applyNumberFormat="1"/>
    <xf borderId="4" fillId="0" fontId="3" numFmtId="10" xfId="0" applyBorder="1" applyFont="1" applyNumberFormat="1"/>
    <xf borderId="0" fillId="5" fontId="3" numFmtId="0" xfId="0" applyFont="1"/>
    <xf borderId="0" fillId="5" fontId="3" numFmtId="10" xfId="0" applyFont="1" applyNumberFormat="1"/>
    <xf borderId="4" fillId="6" fontId="1" numFmtId="0" xfId="0" applyAlignment="1" applyBorder="1" applyFill="1" applyFont="1">
      <alignment horizontal="center" shrinkToFit="0" vertical="center" wrapText="1"/>
    </xf>
    <xf borderId="4" fillId="5" fontId="1" numFmtId="10" xfId="0" applyAlignment="1" applyBorder="1" applyFont="1" applyNumberFormat="1">
      <alignment horizontal="center" shrinkToFit="0" vertical="center" wrapText="1"/>
    </xf>
    <xf borderId="4" fillId="5" fontId="1" numFmtId="1" xfId="0" applyAlignment="1" applyBorder="1" applyFont="1" applyNumberFormat="1">
      <alignment horizontal="center" shrinkToFit="0" vertical="center" wrapText="1"/>
    </xf>
    <xf borderId="4" fillId="5" fontId="1" numFmtId="164" xfId="0" applyAlignment="1" applyBorder="1" applyFont="1" applyNumberFormat="1">
      <alignment horizontal="center" shrinkToFit="0" vertical="center" wrapText="1"/>
    </xf>
    <xf borderId="4" fillId="7" fontId="4" numFmtId="0" xfId="0" applyAlignment="1" applyBorder="1" applyFill="1" applyFont="1">
      <alignment horizontal="right" vertical="bottom"/>
    </xf>
    <xf borderId="4" fillId="7" fontId="4" numFmtId="3" xfId="0" applyAlignment="1" applyBorder="1" applyFont="1" applyNumberFormat="1">
      <alignment horizontal="right" vertical="bottom"/>
    </xf>
    <xf borderId="0" fillId="0" fontId="3" numFmtId="1" xfId="0" applyFont="1" applyNumberFormat="1"/>
    <xf borderId="4" fillId="7" fontId="1" numFmtId="0" xfId="0" applyAlignment="1" applyBorder="1" applyFont="1">
      <alignment horizontal="right" vertical="bottom"/>
    </xf>
    <xf borderId="4" fillId="7" fontId="1" numFmtId="3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4" fillId="7" fontId="4" numFmtId="0" xfId="0" applyAlignment="1" applyBorder="1" applyFont="1">
      <alignment horizontal="center" shrinkToFit="0" vertical="center" wrapText="1"/>
    </xf>
    <xf borderId="4" fillId="7" fontId="4" numFmtId="4" xfId="0" applyAlignment="1" applyBorder="1" applyFont="1" applyNumberFormat="1">
      <alignment horizontal="center" shrinkToFit="0" vertical="center" wrapText="1"/>
    </xf>
    <xf borderId="4" fillId="7" fontId="6" numFmtId="9" xfId="0" applyAlignment="1" applyBorder="1" applyFont="1" applyNumberFormat="1">
      <alignment horizontal="center" shrinkToFit="0" vertical="center" wrapText="1"/>
    </xf>
    <xf borderId="4" fillId="7" fontId="6" numFmtId="1" xfId="0" applyAlignment="1" applyBorder="1" applyFont="1" applyNumberFormat="1">
      <alignment horizontal="center" shrinkToFit="0" vertical="center" wrapText="1"/>
    </xf>
    <xf borderId="4" fillId="7" fontId="6" numFmtId="164" xfId="0" applyAlignment="1" applyBorder="1" applyFont="1" applyNumberFormat="1">
      <alignment horizontal="center" shrinkToFit="0" vertical="center" wrapText="1"/>
    </xf>
    <xf borderId="4" fillId="7" fontId="4" numFmtId="3" xfId="0" applyAlignment="1" applyBorder="1" applyFont="1" applyNumberFormat="1">
      <alignment horizontal="right" shrinkToFit="0" vertical="bottom" wrapText="1"/>
    </xf>
    <xf borderId="4" fillId="7" fontId="4" numFmtId="10" xfId="0" applyAlignment="1" applyBorder="1" applyFont="1" applyNumberFormat="1">
      <alignment horizontal="right" vertical="bottom"/>
    </xf>
    <xf borderId="4" fillId="7" fontId="4" numFmtId="167" xfId="0" applyAlignment="1" applyBorder="1" applyFont="1" applyNumberFormat="1">
      <alignment horizontal="right" vertical="bottom"/>
    </xf>
    <xf borderId="4" fillId="7" fontId="4" numFmtId="9" xfId="0" applyAlignment="1" applyBorder="1" applyFont="1" applyNumberFormat="1">
      <alignment horizontal="right" vertical="bottom"/>
    </xf>
    <xf borderId="5" fillId="8" fontId="1" numFmtId="0" xfId="0" applyAlignment="1" applyBorder="1" applyFill="1" applyFont="1">
      <alignment horizontal="right" vertical="bottom"/>
    </xf>
    <xf borderId="0" fillId="8" fontId="1" numFmtId="3" xfId="0" applyAlignment="1" applyFont="1" applyNumberFormat="1">
      <alignment horizontal="right" vertical="bottom"/>
    </xf>
    <xf borderId="6" fillId="8" fontId="1" numFmtId="4" xfId="0" applyAlignment="1" applyBorder="1" applyFont="1" applyNumberFormat="1">
      <alignment horizontal="right" vertical="bottom"/>
    </xf>
    <xf borderId="0" fillId="8" fontId="3" numFmtId="9" xfId="0" applyFont="1" applyNumberFormat="1"/>
    <xf borderId="0" fillId="8" fontId="3" numFmtId="1" xfId="0" applyFont="1" applyNumberFormat="1"/>
    <xf borderId="0" fillId="8" fontId="3" numFmtId="164" xfId="0" applyFont="1" applyNumberFormat="1"/>
    <xf borderId="0" fillId="6" fontId="3" numFmtId="9" xfId="0" applyFont="1" applyNumberFormat="1"/>
    <xf borderId="0" fillId="6" fontId="3" numFmtId="0" xfId="0" applyFont="1"/>
    <xf borderId="0" fillId="6" fontId="3" numFmtId="1" xfId="0" applyFont="1" applyNumberFormat="1"/>
    <xf borderId="0" fillId="6" fontId="3" numFmtId="164" xfId="0" applyFont="1" applyNumberFormat="1"/>
    <xf borderId="5" fillId="3" fontId="2" numFmtId="0" xfId="0" applyAlignment="1" applyBorder="1" applyFont="1">
      <alignment vertical="bottom"/>
    </xf>
    <xf borderId="0" fillId="3" fontId="2" numFmtId="3" xfId="0" applyAlignment="1" applyFont="1" applyNumberFormat="1">
      <alignment vertical="bottom"/>
    </xf>
    <xf borderId="0" fillId="3" fontId="1" numFmtId="3" xfId="0" applyAlignment="1" applyFont="1" applyNumberFormat="1">
      <alignment horizontal="right" vertical="bottom"/>
    </xf>
    <xf borderId="0" fillId="3" fontId="3" numFmtId="9" xfId="0" applyFont="1" applyNumberFormat="1"/>
    <xf borderId="0" fillId="3" fontId="3" numFmtId="1" xfId="0" applyFont="1" applyNumberFormat="1"/>
    <xf borderId="0" fillId="3" fontId="3" numFmtId="164" xfId="0" applyFont="1" applyNumberFormat="1"/>
    <xf borderId="5" fillId="3" fontId="1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9" fontId="7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9" fontId="1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9" fontId="1" numFmtId="3" xfId="0" applyAlignment="1" applyFont="1" applyNumberFormat="1">
      <alignment horizontal="right" vertical="bottom"/>
    </xf>
    <xf borderId="0" fillId="9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and Revenue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16846361185983827"/>
          <c:w val="0.9381666666666668"/>
          <c:h val="0.7815363881401617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'Decile analysis'!$A$1:$A$11</c:f>
            </c:strRef>
          </c:cat>
          <c:val>
            <c:numRef>
              <c:f>'Decile analysis'!$D$1:$D$11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из Profit и SUM из Revenue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'Decile analysis'!$C$16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'Decile analysis'!$B$17:$B$26</c:f>
            </c:strRef>
          </c:cat>
          <c:val>
            <c:numRef>
              <c:f>'Decile analysis'!$C$17:$C$26</c:f>
              <c:numCache/>
            </c:numRef>
          </c:val>
        </c:ser>
        <c:ser>
          <c:idx val="1"/>
          <c:order val="1"/>
          <c:tx>
            <c:strRef>
              <c:f>'Decile analysis'!$D$16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'Decile analysis'!$B$17:$B$26</c:f>
            </c:strRef>
          </c:cat>
          <c:val>
            <c:numRef>
              <c:f>'Decile analysis'!$D$17:$D$26</c:f>
              <c:numCache/>
            </c:numRef>
          </c:val>
        </c:ser>
        <c:axId val="775141912"/>
        <c:axId val="1272372320"/>
      </c:areaChart>
      <c:catAx>
        <c:axId val="775141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372320"/>
      </c:catAx>
      <c:valAx>
        <c:axId val="1272372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141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#Customers</a:t>
            </a:r>
          </a:p>
        </c:rich>
      </c:tx>
      <c:overlay val="0"/>
    </c:title>
    <c:plotArea>
      <c:layout>
        <c:manualLayout>
          <c:xMode val="edge"/>
          <c:yMode val="edge"/>
          <c:x val="0.09096549479166668"/>
          <c:y val="0.14655172413793102"/>
          <c:w val="0.8781178385416668"/>
          <c:h val="0.6944501358284408"/>
        </c:manualLayout>
      </c:layout>
      <c:barChart>
        <c:barDir val="col"/>
        <c:ser>
          <c:idx val="0"/>
          <c:order val="0"/>
          <c:tx>
            <c:strRef>
              <c:f>'Cohort analysis'!$B$1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analysis'!$B$2:$B$17</c:f>
              <c:numCache/>
            </c:numRef>
          </c:val>
        </c:ser>
        <c:axId val="530361291"/>
        <c:axId val="1262282114"/>
      </c:barChart>
      <c:catAx>
        <c:axId val="530361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282114"/>
      </c:catAx>
      <c:valAx>
        <c:axId val="1262282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61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Quarters and Total Transactions</a:t>
            </a:r>
          </a:p>
        </c:rich>
      </c:tx>
      <c:overlay val="0"/>
    </c:title>
    <c:plotArea>
      <c:layout>
        <c:manualLayout>
          <c:xMode val="edge"/>
          <c:yMode val="edge"/>
          <c:x val="0.09096549479166668"/>
          <c:y val="0.20889487870619947"/>
          <c:w val="0.8781178385416668"/>
          <c:h val="0.6321069812601723"/>
        </c:manualLayout>
      </c:layout>
      <c:barChart>
        <c:barDir val="col"/>
        <c:ser>
          <c:idx val="0"/>
          <c:order val="0"/>
          <c:tx>
            <c:strRef>
              <c:f>'Cohort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analysis'!$C$2:$C$17</c:f>
              <c:numCache/>
            </c:numRef>
          </c:val>
        </c:ser>
        <c:axId val="1866033277"/>
        <c:axId val="24044466"/>
      </c:barChart>
      <c:catAx>
        <c:axId val="186603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44466"/>
      </c:catAx>
      <c:valAx>
        <c:axId val="24044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033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Revenue</a:t>
            </a:r>
          </a:p>
        </c:rich>
      </c:tx>
      <c:overlay val="0"/>
    </c:title>
    <c:plotArea>
      <c:layout>
        <c:manualLayout>
          <c:xMode val="edge"/>
          <c:yMode val="edge"/>
          <c:x val="0.1410143229166666"/>
          <c:y val="0.15498652291105122"/>
          <c:w val="0.8280690104166668"/>
          <c:h val="0.6860153370553206"/>
        </c:manualLayout>
      </c:layout>
      <c:barChart>
        <c:barDir val="col"/>
        <c:ser>
          <c:idx val="0"/>
          <c:order val="0"/>
          <c:tx>
            <c:strRef>
              <c:f>'Cohort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analysis'!$D$2:$D$17</c:f>
              <c:numCache/>
            </c:numRef>
          </c:val>
        </c:ser>
        <c:axId val="1931935064"/>
        <c:axId val="1278588578"/>
      </c:barChart>
      <c:catAx>
        <c:axId val="1931935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588578"/>
      </c:catAx>
      <c:valAx>
        <c:axId val="1278588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935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Profit</a:t>
            </a:r>
          </a:p>
        </c:rich>
      </c:tx>
      <c:overlay val="0"/>
    </c:title>
    <c:plotArea>
      <c:layout>
        <c:manualLayout>
          <c:xMode val="edge"/>
          <c:yMode val="edge"/>
          <c:x val="0.1410143229166666"/>
          <c:y val="0.16307277628032346"/>
          <c:w val="0.8280690104166668"/>
          <c:h val="0.7142857142857141"/>
        </c:manualLayout>
      </c:layout>
      <c:barChart>
        <c:barDir val="col"/>
        <c:ser>
          <c:idx val="0"/>
          <c:order val="0"/>
          <c:tx>
            <c:strRef>
              <c:f>'Cohort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'Cohort analysis'!$E$2:$E$17</c:f>
              <c:numCache/>
            </c:numRef>
          </c:val>
        </c:ser>
        <c:axId val="1848143402"/>
        <c:axId val="1453538353"/>
      </c:barChart>
      <c:catAx>
        <c:axId val="1848143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538353"/>
      </c:catAx>
      <c:valAx>
        <c:axId val="1453538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143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% Active</a:t>
            </a:r>
          </a:p>
        </c:rich>
      </c:tx>
      <c:overlay val="0"/>
    </c:title>
    <c:plotArea>
      <c:layout>
        <c:manualLayout>
          <c:xMode val="edge"/>
          <c:yMode val="edge"/>
          <c:x val="0.11987174479166664"/>
          <c:y val="0.13881401617250674"/>
          <c:w val="0.8492115885416668"/>
          <c:h val="0.702187843793865"/>
        </c:manualLayout>
      </c:layout>
      <c:barChart>
        <c:barDir val="col"/>
        <c:ser>
          <c:idx val="0"/>
          <c:order val="0"/>
          <c:tx>
            <c:strRef>
              <c:f>'Cohort analysis'!$F$1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</c:ser>
        <c:axId val="943728848"/>
        <c:axId val="312217019"/>
      </c:barChart>
      <c:catAx>
        <c:axId val="94372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217019"/>
      </c:catAx>
      <c:valAx>
        <c:axId val="312217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728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&amp; Avg spend/active customer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492696422"/>
        <c:axId val="1892905591"/>
      </c:barChart>
      <c:catAx>
        <c:axId val="492696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905591"/>
      </c:catAx>
      <c:valAx>
        <c:axId val="1892905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696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AOF</a:t>
            </a:r>
          </a:p>
        </c:rich>
      </c:tx>
      <c:overlay val="0"/>
    </c:title>
    <c:plotArea>
      <c:layout>
        <c:manualLayout>
          <c:xMode val="edge"/>
          <c:yMode val="edge"/>
          <c:x val="0.07428580729166669"/>
          <c:y val="0.14690026954177898"/>
          <c:w val="0.8947975260416668"/>
          <c:h val="0.6941015904245929"/>
        </c:manualLayout>
      </c:layout>
      <c:barChart>
        <c:barDir val="col"/>
        <c:ser>
          <c:idx val="0"/>
          <c:order val="0"/>
          <c:tx>
            <c:strRef>
              <c:f>'Cohort analysis'!$H$1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analysis'!$H$2:$H$17</c:f>
              <c:numCache/>
            </c:numRef>
          </c:val>
        </c:ser>
        <c:axId val="833291425"/>
        <c:axId val="1757336000"/>
      </c:barChart>
      <c:catAx>
        <c:axId val="833291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336000"/>
      </c:catAx>
      <c:valAx>
        <c:axId val="1757336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291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and AOV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</c:ser>
        <c:axId val="357419199"/>
        <c:axId val="556727504"/>
      </c:barChart>
      <c:catAx>
        <c:axId val="35741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727504"/>
      </c:catAx>
      <c:valAx>
        <c:axId val="556727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419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for 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'Cohohrt 3 analysis'!$L$2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analysis'!$L$3:$L$16</c:f>
              <c:numCache/>
            </c:numRef>
          </c:val>
          <c:smooth val="0"/>
        </c:ser>
        <c:ser>
          <c:idx val="1"/>
          <c:order val="1"/>
          <c:tx>
            <c:strRef>
              <c:f>'Cohohrt 3 analysis'!$M$2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analysis'!$M$3:$M$16</c:f>
              <c:numCache/>
            </c:numRef>
          </c:val>
          <c:smooth val="0"/>
        </c:ser>
        <c:ser>
          <c:idx val="2"/>
          <c:order val="2"/>
          <c:tx>
            <c:strRef>
              <c:f>'Cohohrt 3 analysis'!$N$2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analysis'!$N$3:$N$16</c:f>
              <c:numCache/>
            </c:numRef>
          </c:val>
          <c:smooth val="0"/>
        </c:ser>
        <c:axId val="2126401806"/>
        <c:axId val="71241015"/>
      </c:lineChart>
      <c:catAx>
        <c:axId val="2126401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41015"/>
      </c:catAx>
      <c:valAx>
        <c:axId val="71241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401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'Cohohrt 3 analysis'!$O$2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analysis'!$O$3:$O$16</c:f>
              <c:numCache/>
            </c:numRef>
          </c:val>
          <c:smooth val="0"/>
        </c:ser>
        <c:ser>
          <c:idx val="1"/>
          <c:order val="1"/>
          <c:tx>
            <c:strRef>
              <c:f>'Cohohrt 3 analysis'!$P$2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analysis'!$P$3:$P$16</c:f>
              <c:numCache/>
            </c:numRef>
          </c:val>
          <c:smooth val="0"/>
        </c:ser>
        <c:ser>
          <c:idx val="2"/>
          <c:order val="2"/>
          <c:tx>
            <c:strRef>
              <c:f>'Cohohrt 3 analysis'!$Q$2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analysis'!$Q$3:$Q$16</c:f>
              <c:numCache/>
            </c:numRef>
          </c:val>
          <c:smooth val="0"/>
        </c:ser>
        <c:axId val="670176720"/>
        <c:axId val="1019627298"/>
      </c:lineChart>
      <c:catAx>
        <c:axId val="67017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627298"/>
      </c:catAx>
      <c:valAx>
        <c:axId val="1019627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176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'Cohohrt 3 analysis'!$R$2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analysis'!$R$3:$R$16</c:f>
              <c:numCache/>
            </c:numRef>
          </c:val>
          <c:smooth val="0"/>
        </c:ser>
        <c:ser>
          <c:idx val="1"/>
          <c:order val="1"/>
          <c:tx>
            <c:strRef>
              <c:f>'Cohohrt 3 analysis'!$S$2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analysis'!$S$3:$S$16</c:f>
              <c:numCache/>
            </c:numRef>
          </c:val>
          <c:smooth val="0"/>
        </c:ser>
        <c:ser>
          <c:idx val="2"/>
          <c:order val="2"/>
          <c:tx>
            <c:strRef>
              <c:f>'Cohohrt 3 analysis'!$T$2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analysis'!$T$3:$T$16</c:f>
              <c:numCache/>
            </c:numRef>
          </c:val>
          <c:smooth val="0"/>
        </c:ser>
        <c:axId val="763808671"/>
        <c:axId val="1056174344"/>
      </c:lineChart>
      <c:catAx>
        <c:axId val="76380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174344"/>
      </c:catAx>
      <c:valAx>
        <c:axId val="1056174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808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'Cohohrt 3 analysis'!$U$2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analysis'!$U$3:$U$16</c:f>
              <c:numCache/>
            </c:numRef>
          </c:val>
          <c:smooth val="0"/>
        </c:ser>
        <c:ser>
          <c:idx val="1"/>
          <c:order val="1"/>
          <c:tx>
            <c:strRef>
              <c:f>'Cohohrt 3 analysis'!$V$2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analysis'!$V$3:$V$16</c:f>
              <c:numCache/>
            </c:numRef>
          </c:val>
          <c:smooth val="0"/>
        </c:ser>
        <c:ser>
          <c:idx val="2"/>
          <c:order val="2"/>
          <c:tx>
            <c:strRef>
              <c:f>'Cohohrt 3 analysis'!$W$2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'Cohohrt 3 analysis'!$K$3:$K$16</c:f>
            </c:strRef>
          </c:cat>
          <c:val>
            <c:numRef>
              <c:f>'Cohohrt 3 analysis'!$W$3:$W$16</c:f>
              <c:numCache/>
            </c:numRef>
          </c:val>
          <c:smooth val="0"/>
        </c:ser>
        <c:axId val="1980354749"/>
        <c:axId val="503059033"/>
      </c:lineChart>
      <c:catAx>
        <c:axId val="1980354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059033"/>
      </c:catAx>
      <c:valAx>
        <c:axId val="503059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Q3 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354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layout>
        <c:manualLayout>
          <c:xMode val="edge"/>
          <c:yMode val="edge"/>
          <c:x val="0.03"/>
          <c:y val="0.05897686088653471"/>
        </c:manualLayout>
      </c:layout>
      <c:overlay val="0"/>
    </c:title>
    <c:plotArea>
      <c:layout>
        <c:manualLayout>
          <c:xMode val="edge"/>
          <c:yMode val="edge"/>
          <c:x val="0.12319205729166664"/>
          <c:y val="0.2601078167115903"/>
          <c:w val="0.8458912760416668"/>
          <c:h val="0.6413746630727762"/>
        </c:manualLayout>
      </c:layout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summarize'!$A$3:$A$7</c:f>
            </c:strRef>
          </c:cat>
          <c:val>
            <c:numRef>
              <c:f>'Yearly summarize'!$B$2:$B$7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'Yearly summarize'!$A$3:$A$7</c:f>
            </c:strRef>
          </c:cat>
          <c:val>
            <c:numRef>
              <c:f>'Yearly summarize'!$C$2:$C$7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'Yearly summarize'!$A$3:$A$7</c:f>
            </c:strRef>
          </c:cat>
          <c:val>
            <c:numRef>
              <c:f>'Yearly summarize'!$D$2:$D$7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'Yearly summarize'!$A$3:$A$7</c:f>
            </c:strRef>
          </c:cat>
          <c:val>
            <c:numRef>
              <c:f>'Yearly summarize'!$E$2:$E$7</c:f>
              <c:numCache/>
            </c:numRef>
          </c:val>
        </c:ser>
        <c:overlap val="100"/>
        <c:axId val="718031734"/>
        <c:axId val="1864887924"/>
      </c:barChart>
      <c:catAx>
        <c:axId val="7180317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887924"/>
      </c:catAx>
      <c:valAx>
        <c:axId val="18648879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0317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layout>
        <c:manualLayout>
          <c:xMode val="edge"/>
          <c:yMode val="edge"/>
          <c:x val="0.03231481481481481"/>
          <c:y val="0.05423752439364372"/>
        </c:manualLayout>
      </c:layout>
      <c:overlay val="0"/>
    </c:title>
    <c:plotArea>
      <c:layout>
        <c:manualLayout>
          <c:xMode val="edge"/>
          <c:yMode val="edge"/>
          <c:x val="0.12319205729166664"/>
          <c:y val="0.2601078167115903"/>
          <c:w val="0.8458912760416668"/>
          <c:h val="0.6413746630727762"/>
        </c:manualLayout>
      </c:layout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summarize'!$A$3:$A$7</c:f>
            </c:strRef>
          </c:cat>
          <c:val>
            <c:numRef>
              <c:f>'Yearly summarize'!$B$10:$B$15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summarize'!$A$3:$A$7</c:f>
            </c:strRef>
          </c:cat>
          <c:val>
            <c:numRef>
              <c:f>'Yearly summarize'!$C$10:$C$15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summarize'!$A$3:$A$7</c:f>
            </c:strRef>
          </c:cat>
          <c:val>
            <c:numRef>
              <c:f>'Yearly summarize'!$D$10:$D$15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summarize'!$A$3:$A$7</c:f>
            </c:strRef>
          </c:cat>
          <c:val>
            <c:numRef>
              <c:f>'Yearly summarize'!$E$10:$E$15</c:f>
              <c:numCache/>
            </c:numRef>
          </c:val>
          <c:smooth val="0"/>
        </c:ser>
        <c:axId val="812949804"/>
        <c:axId val="1385298237"/>
      </c:lineChart>
      <c:catAx>
        <c:axId val="812949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298237"/>
      </c:catAx>
      <c:valAx>
        <c:axId val="1385298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949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#Customers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summarize'!$A$19:$A$23</c:f>
            </c:strRef>
          </c:cat>
          <c:val>
            <c:numRef>
              <c:f>'Yearly summarize'!$B$18:$B$23</c:f>
              <c:numCache/>
            </c:numRef>
          </c:val>
        </c:ser>
        <c:axId val="1615323458"/>
        <c:axId val="243071786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summarize'!$A$19:$A$23</c:f>
            </c:strRef>
          </c:cat>
          <c:val>
            <c:numRef>
              <c:f>'Yearly summarize'!$C$18:$C$23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summarize'!$A$19:$A$23</c:f>
            </c:strRef>
          </c:cat>
          <c:val>
            <c:numRef>
              <c:f>'Yearly summarize'!$D$18:$D$22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summarize'!$A$19:$A$23</c:f>
            </c:strRef>
          </c:cat>
          <c:val>
            <c:numRef>
              <c:f>'Yearly summarize'!$E$18:$E$23</c:f>
              <c:numCache/>
            </c:numRef>
          </c:val>
          <c:smooth val="0"/>
        </c:ser>
        <c:axId val="1615323458"/>
        <c:axId val="243071786"/>
      </c:lineChart>
      <c:catAx>
        <c:axId val="1615323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071786"/>
      </c:catAx>
      <c:valAx>
        <c:axId val="243071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323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summarize'!$A$27:$A$31</c:f>
            </c:strRef>
          </c:cat>
          <c:val>
            <c:numRef>
              <c:f>'Yearly summarize'!$B$26:$B$28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summarize'!$A$27:$A$31</c:f>
            </c:strRef>
          </c:cat>
          <c:val>
            <c:numRef>
              <c:f>'Yearly summarize'!$C$26:$C$29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summarize'!$A$27:$A$31</c:f>
            </c:strRef>
          </c:cat>
          <c:val>
            <c:numRef>
              <c:f>'Yearly summarize'!$D$26:$D$30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summarize'!$A$27:$A$31</c:f>
            </c:strRef>
          </c:cat>
          <c:val>
            <c:numRef>
              <c:f>'Yearly summarize'!$E$26:$E$31</c:f>
              <c:numCache/>
            </c:numRef>
          </c:val>
          <c:smooth val="0"/>
        </c:ser>
        <c:axId val="414612819"/>
        <c:axId val="848574325"/>
      </c:lineChart>
      <c:catAx>
        <c:axId val="414612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574325"/>
      </c:catAx>
      <c:valAx>
        <c:axId val="848574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612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31</xdr:row>
      <xdr:rowOff>152400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15</xdr:row>
      <xdr:rowOff>28575</xdr:rowOff>
    </xdr:from>
    <xdr:ext cx="5038725" cy="31146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742950</xdr:colOff>
      <xdr:row>0</xdr:row>
      <xdr:rowOff>333375</xdr:rowOff>
    </xdr:from>
    <xdr:ext cx="4752975" cy="32194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28575</xdr:colOff>
      <xdr:row>0</xdr:row>
      <xdr:rowOff>285750</xdr:rowOff>
    </xdr:from>
    <xdr:ext cx="5343525" cy="33147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19</xdr:row>
      <xdr:rowOff>85725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400050</xdr:colOff>
      <xdr:row>19</xdr:row>
      <xdr:rowOff>85725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666750</xdr:colOff>
      <xdr:row>19</xdr:row>
      <xdr:rowOff>19050</xdr:rowOff>
    </xdr:from>
    <xdr:ext cx="57531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39</xdr:row>
      <xdr:rowOff>152400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266700</xdr:colOff>
      <xdr:row>39</xdr:row>
      <xdr:rowOff>152400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66675</xdr:colOff>
      <xdr:row>39</xdr:row>
      <xdr:rowOff>152400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838200</xdr:colOff>
      <xdr:row>18</xdr:row>
      <xdr:rowOff>38100</xdr:rowOff>
    </xdr:from>
    <xdr:ext cx="5581650" cy="3448050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257175</xdr:colOff>
      <xdr:row>18</xdr:row>
      <xdr:rowOff>38100</xdr:rowOff>
    </xdr:from>
    <xdr:ext cx="571500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771525</xdr:colOff>
      <xdr:row>34</xdr:row>
      <xdr:rowOff>9525</xdr:rowOff>
    </xdr:from>
    <xdr:ext cx="571500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257175</xdr:colOff>
      <xdr:row>34</xdr:row>
      <xdr:rowOff>9525</xdr:rowOff>
    </xdr:from>
    <xdr:ext cx="5715000" cy="35337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0</xdr:row>
      <xdr:rowOff>0</xdr:rowOff>
    </xdr:from>
    <xdr:ext cx="4933950" cy="177165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419100</xdr:colOff>
      <xdr:row>8</xdr:row>
      <xdr:rowOff>28575</xdr:rowOff>
    </xdr:from>
    <xdr:ext cx="4933950" cy="1847850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419100</xdr:colOff>
      <xdr:row>16</xdr:row>
      <xdr:rowOff>133350</xdr:rowOff>
    </xdr:from>
    <xdr:ext cx="4933950" cy="191452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419100</xdr:colOff>
      <xdr:row>25</xdr:row>
      <xdr:rowOff>76200</xdr:rowOff>
    </xdr:from>
    <xdr:ext cx="4933950" cy="239077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" sheet="Decile analysis"/>
  </cacheSource>
  <cacheFields>
    <cacheField name="Decile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s v="TOTAL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  <n v="31797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  <n v="6126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  <n v="3.2560066E8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  <n v="1.56016135E8"/>
      </sharedItems>
    </cacheField>
    <cacheField name="# customers2" numFmtId="9">
      <sharedItems containsSemiMixedTypes="0" containsString="0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n v="1.0"/>
      </sharedItems>
    </cacheField>
    <cacheField name="total transactions2" numFmtId="10">
      <sharedItems containsSemiMixedTypes="0" containsString="0" containsNumber="1">
        <n v="0.2857166176950702"/>
        <n v="0.1420666013712047"/>
        <n v="0.10357492654260529"/>
        <n v="0.08731635651322234"/>
        <n v="0.07644466209598433"/>
        <n v="0.07068233757753836"/>
        <n v="0.06536075742735879"/>
        <n v="0.055729676787463274"/>
        <n v="0.05972902383284362"/>
        <n v="0.05337904015670911"/>
        <n v="1.0"/>
      </sharedItems>
    </cacheField>
    <cacheField name="revenue2" numFmtId="10">
      <sharedItems containsSemiMixedTypes="0" containsString="0" containsNumber="1">
        <n v="0.3960449742331603"/>
        <n v="0.17058597178519233"/>
        <n v="0.11754959280487945"/>
        <n v="0.08911840043567479"/>
        <n v="0.06927266363649263"/>
        <n v="0.05273317013546594"/>
        <n v="0.041371875597549464"/>
        <n v="0.02881159700351959"/>
        <n v="0.02302360197918518"/>
        <n v="0.011488152388880292"/>
        <n v="1.0"/>
      </sharedItems>
    </cacheField>
    <cacheField name="profit2" numFmtId="10">
      <sharedItems containsSemiMixedTypes="0" containsString="0" containsNumber="1">
        <n v="0.3984214517299765"/>
        <n v="0.17356557384273108"/>
        <n v="0.12000076145970415"/>
        <n v="0.08919971642676573"/>
        <n v="0.06880317218472308"/>
        <n v="0.050945179484160406"/>
        <n v="0.03999602348821165"/>
        <n v="0.027732291919678694"/>
        <n v="0.021370225585962632"/>
        <n v="0.00996560387808607"/>
        <n v="1.0"/>
      </sharedItems>
    </cacheField>
    <cacheField name="Average revenue per customer" numFmtId="4">
      <sharedItems containsString="0" containsBlank="1" containsNumber="1">
        <n v="40551.10220125786"/>
        <n v="17466.322327044025"/>
        <n v="12047.285174693106"/>
        <n v="9130.588420390182"/>
        <n v="7086.153000314169"/>
        <n v="5496.144366197183"/>
        <n v="4166.628518403959"/>
        <n v="3131.1999332443256"/>
        <n v="2231.1011904761904"/>
        <n v="1174.0583804143125"/>
        <m/>
      </sharedItems>
    </cacheField>
    <cacheField name="Average profit per customer" numFmtId="4">
      <sharedItems containsSemiMixedTypes="0" containsString="0" containsNumber="1">
        <n v="19547.224842767297"/>
        <n v="8515.41823899371"/>
        <n v="5892.9981114258735"/>
        <n v="4379.041850220265"/>
        <n v="3372.4175306314796"/>
        <n v="2544.260563380282"/>
        <n v="1930.1036189297865"/>
        <n v="1444.1538718291056"/>
        <n v="992.2916666666666"/>
        <n v="488.00847457627117"/>
        <n v="4906.630656980218"/>
      </sharedItems>
    </cacheField>
    <cacheField name="AOF AVerage order frequency" numFmtId="164">
      <sharedItems containsSemiMixedTypes="0" containsString="0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n v="1.926596848759317"/>
      </sharedItems>
    </cacheField>
    <cacheField name="Order Value =Revenue/Transactions" numFmtId="165">
      <sharedItems containsSemiMixedTypes="0" containsString="0" containsNumber="1">
        <n v="7367.45157972919"/>
        <n v="6382.0412501436285"/>
        <n v="6032.1867612293145"/>
        <n v="5424.75415965601"/>
        <n v="4816.405082212257"/>
        <n v="3965.347575057737"/>
        <n v="3364.313186813187"/>
        <n v="2747.8251318101934"/>
        <n v="2048.7838207160426"/>
        <n v="1143.8990825688074"/>
        <n v="5315.061377734248"/>
      </sharedItems>
    </cacheField>
    <cacheField name="Average Margin =Profit/Revenue" numFmtId="9">
      <sharedItems containsSemiMixedTypes="0" containsString="0" containsNumber="1">
        <n v="0.48203929811212276"/>
        <n v="0.48753355626609735"/>
        <n v="0.4891556915914039"/>
        <n v="0.47960127525199875"/>
        <n v="0.4759165559199698"/>
        <n v="0.46291734602682416"/>
        <n v="0.4632291096757335"/>
        <n v="0.46121419986515405"/>
        <n v="0.4447542186353632"/>
        <n v="0.4156594618438465"/>
        <n v="0.479164062505278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" sheet="Decile analysis"/>
  </cacheSource>
  <cacheFields>
    <cacheField name="Decile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s v="TOTAL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  <n v="31797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  <n v="6126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  <n v="3.2560066E8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  <n v="1.56016135E8"/>
      </sharedItems>
    </cacheField>
    <cacheField name="# customers2" numFmtId="9">
      <sharedItems containsSemiMixedTypes="0" containsString="0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n v="1.0"/>
      </sharedItems>
    </cacheField>
    <cacheField name="total transactions2" numFmtId="10">
      <sharedItems containsSemiMixedTypes="0" containsString="0" containsNumber="1">
        <n v="0.2857166176950702"/>
        <n v="0.1420666013712047"/>
        <n v="0.10357492654260529"/>
        <n v="0.08731635651322234"/>
        <n v="0.07644466209598433"/>
        <n v="0.07068233757753836"/>
        <n v="0.06536075742735879"/>
        <n v="0.055729676787463274"/>
        <n v="0.05972902383284362"/>
        <n v="0.05337904015670911"/>
        <n v="1.0"/>
      </sharedItems>
    </cacheField>
    <cacheField name="revenue2" numFmtId="10">
      <sharedItems containsSemiMixedTypes="0" containsString="0" containsNumber="1">
        <n v="0.3960449742331603"/>
        <n v="0.17058597178519233"/>
        <n v="0.11754959280487945"/>
        <n v="0.08911840043567479"/>
        <n v="0.06927266363649263"/>
        <n v="0.05273317013546594"/>
        <n v="0.041371875597549464"/>
        <n v="0.02881159700351959"/>
        <n v="0.02302360197918518"/>
        <n v="0.011488152388880292"/>
        <n v="1.0"/>
      </sharedItems>
    </cacheField>
    <cacheField name="profit2" numFmtId="10">
      <sharedItems containsSemiMixedTypes="0" containsString="0" containsNumber="1">
        <n v="0.3984214517299765"/>
        <n v="0.17356557384273108"/>
        <n v="0.12000076145970415"/>
        <n v="0.08919971642676573"/>
        <n v="0.06880317218472308"/>
        <n v="0.050945179484160406"/>
        <n v="0.03999602348821165"/>
        <n v="0.027732291919678694"/>
        <n v="0.021370225585962632"/>
        <n v="0.00996560387808607"/>
        <n v="1.0"/>
      </sharedItems>
    </cacheField>
    <cacheField name="Average revenue per customer" numFmtId="4">
      <sharedItems containsString="0" containsBlank="1" containsNumber="1">
        <n v="40551.10220125786"/>
        <n v="17466.322327044025"/>
        <n v="12047.285174693106"/>
        <n v="9130.588420390182"/>
        <n v="7086.153000314169"/>
        <n v="5496.144366197183"/>
        <n v="4166.628518403959"/>
        <n v="3131.1999332443256"/>
        <n v="2231.1011904761904"/>
        <n v="1174.0583804143125"/>
        <m/>
      </sharedItems>
    </cacheField>
    <cacheField name="Average profit per customer" numFmtId="4">
      <sharedItems containsSemiMixedTypes="0" containsString="0" containsNumber="1">
        <n v="19547.224842767297"/>
        <n v="8515.41823899371"/>
        <n v="5892.9981114258735"/>
        <n v="4379.041850220265"/>
        <n v="3372.4175306314796"/>
        <n v="2544.260563380282"/>
        <n v="1930.1036189297865"/>
        <n v="1444.1538718291056"/>
        <n v="992.2916666666666"/>
        <n v="488.00847457627117"/>
        <n v="4906.630656980218"/>
      </sharedItems>
    </cacheField>
    <cacheField name="AOF AVerage order frequency" numFmtId="164">
      <sharedItems containsSemiMixedTypes="0" containsString="0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n v="1.926596848759317"/>
      </sharedItems>
      <fieldGroup base="11">
        <rangePr autoStart="0" autoEnd="0" startNum="1.0" endNum="6.0" groupInterval="0.5"/>
        <groupItems>
          <s v="&lt;1.0"/>
          <s v="1.0 - 1.5"/>
          <s v="1.5 - 2.0"/>
          <s v="2.5 - 3.0"/>
          <s v="5.5 - 6.0"/>
          <s v="&gt;6.0"/>
        </groupItems>
      </fieldGroup>
    </cacheField>
    <cacheField name="Order Value =Revenue/Transactions" numFmtId="165">
      <sharedItems containsSemiMixedTypes="0" containsString="0" containsNumber="1">
        <n v="7367.45157972919"/>
        <n v="6382.0412501436285"/>
        <n v="6032.1867612293145"/>
        <n v="5424.75415965601"/>
        <n v="4816.405082212257"/>
        <n v="3965.347575057737"/>
        <n v="3364.313186813187"/>
        <n v="2747.8251318101934"/>
        <n v="2048.7838207160426"/>
        <n v="1143.8990825688074"/>
        <n v="5315.061377734248"/>
      </sharedItems>
    </cacheField>
    <cacheField name="Average Margin =Profit/Revenue" numFmtId="9">
      <sharedItems containsSemiMixedTypes="0" containsString="0" containsNumber="1">
        <n v="0.48203929811212276"/>
        <n v="0.48753355626609735"/>
        <n v="0.4891556915914039"/>
        <n v="0.47960127525199875"/>
        <n v="0.4759165559199698"/>
        <n v="0.46291734602682416"/>
        <n v="0.4632291096757335"/>
        <n v="0.46121419986515405"/>
        <n v="0.4447542186353632"/>
        <n v="0.4156594618438465"/>
        <n v="0.479164062505278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" sheet="Decile analysis"/>
  </cacheSource>
  <cacheFields>
    <cacheField name="Decile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s v="TOTAL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  <n v="31797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  <n v="6126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  <n v="3.2560066E8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  <n v="1.56016135E8"/>
      </sharedItems>
    </cacheField>
    <cacheField name="# customers2" numFmtId="9">
      <sharedItems containsSemiMixedTypes="0" containsString="0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n v="1.0"/>
      </sharedItems>
    </cacheField>
    <cacheField name="total transactions2" numFmtId="10">
      <sharedItems containsSemiMixedTypes="0" containsString="0" containsNumber="1">
        <n v="0.2857166176950702"/>
        <n v="0.1420666013712047"/>
        <n v="0.10357492654260529"/>
        <n v="0.08731635651322234"/>
        <n v="0.07644466209598433"/>
        <n v="0.07068233757753836"/>
        <n v="0.06536075742735879"/>
        <n v="0.055729676787463274"/>
        <n v="0.05972902383284362"/>
        <n v="0.05337904015670911"/>
        <n v="1.0"/>
      </sharedItems>
    </cacheField>
    <cacheField name="revenue2" numFmtId="10">
      <sharedItems containsSemiMixedTypes="0" containsString="0" containsNumber="1">
        <n v="0.3960449742331603"/>
        <n v="0.17058597178519233"/>
        <n v="0.11754959280487945"/>
        <n v="0.08911840043567479"/>
        <n v="0.06927266363649263"/>
        <n v="0.05273317013546594"/>
        <n v="0.041371875597549464"/>
        <n v="0.02881159700351959"/>
        <n v="0.02302360197918518"/>
        <n v="0.011488152388880292"/>
        <n v="1.0"/>
      </sharedItems>
    </cacheField>
    <cacheField name="profit2" numFmtId="10">
      <sharedItems containsSemiMixedTypes="0" containsString="0" containsNumber="1">
        <n v="0.3984214517299765"/>
        <n v="0.17356557384273108"/>
        <n v="0.12000076145970415"/>
        <n v="0.08919971642676573"/>
        <n v="0.06880317218472308"/>
        <n v="0.050945179484160406"/>
        <n v="0.03999602348821165"/>
        <n v="0.027732291919678694"/>
        <n v="0.021370225585962632"/>
        <n v="0.00996560387808607"/>
        <n v="1.0"/>
      </sharedItems>
    </cacheField>
    <cacheField name="Average revenue per customer" numFmtId="4">
      <sharedItems containsString="0" containsBlank="1" containsNumber="1">
        <n v="40551.10220125786"/>
        <n v="17466.322327044025"/>
        <n v="12047.285174693106"/>
        <n v="9130.588420390182"/>
        <n v="7086.153000314169"/>
        <n v="5496.144366197183"/>
        <n v="4166.628518403959"/>
        <n v="3131.1999332443256"/>
        <n v="2231.1011904761904"/>
        <n v="1174.0583804143125"/>
        <m/>
      </sharedItems>
    </cacheField>
    <cacheField name="Average profit per customer" numFmtId="4">
      <sharedItems containsSemiMixedTypes="0" containsString="0" containsNumber="1">
        <n v="19547.224842767297"/>
        <n v="8515.41823899371"/>
        <n v="5892.9981114258735"/>
        <n v="4379.041850220265"/>
        <n v="3372.4175306314796"/>
        <n v="2544.260563380282"/>
        <n v="1930.1036189297865"/>
        <n v="1444.1538718291056"/>
        <n v="992.2916666666666"/>
        <n v="488.00847457627117"/>
        <n v="4906.630656980218"/>
      </sharedItems>
    </cacheField>
    <cacheField name="AOF AVerage order frequency" numFmtId="164">
      <sharedItems containsSemiMixedTypes="0" containsString="0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n v="1.926596848759317"/>
      </sharedItems>
    </cacheField>
    <cacheField name="Order Value =Revenue/Transactions" numFmtId="165">
      <sharedItems containsSemiMixedTypes="0" containsString="0" containsNumber="1">
        <n v="7367.45157972919"/>
        <n v="6382.0412501436285"/>
        <n v="6032.1867612293145"/>
        <n v="5424.75415965601"/>
        <n v="4816.405082212257"/>
        <n v="3965.347575057737"/>
        <n v="3364.313186813187"/>
        <n v="2747.8251318101934"/>
        <n v="2048.7838207160426"/>
        <n v="1143.8990825688074"/>
        <n v="5315.061377734248"/>
      </sharedItems>
      <fieldGroup base="12">
        <rangePr autoStart="0" autoEnd="0" startNum="1000.0" endNum="7500.0" groupInterval="1500.0"/>
        <groupItems>
          <s v="&lt;1000.0"/>
          <s v="$1,000 - $2,500"/>
          <s v="$2,500 - $4,000"/>
          <s v="$4,000 - $5,500"/>
          <s v="$5,500 - $7,000"/>
          <s v="$7,000 - $7,500"/>
          <s v="&gt;7500.0"/>
        </groupItems>
      </fieldGroup>
    </cacheField>
    <cacheField name="Average Margin =Profit/Revenue" numFmtId="9">
      <sharedItems containsSemiMixedTypes="0" containsString="0" containsNumber="1">
        <n v="0.48203929811212276"/>
        <n v="0.48753355626609735"/>
        <n v="0.4891556915914039"/>
        <n v="0.47960127525199875"/>
        <n v="0.4759165559199698"/>
        <n v="0.46291734602682416"/>
        <n v="0.4632291096757335"/>
        <n v="0.46121419986515405"/>
        <n v="0.4447542186353632"/>
        <n v="0.4156594618438465"/>
        <n v="0.479164062505278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ecile analysis" cacheId="0" dataCaption="" rowGrandTotals="0" compact="0" compactData="0">
  <location ref="P1:W12" firstHeaderRow="0" firstDataRow="7" firstDataCol="0"/>
  <pivotFields>
    <pivotField name="Decil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axis="axisRow" compact="0" numFmtId="9" outline="0" multipleItemSelectionAllowed="1" showAll="0" sortType="ascending" defaultSubtotal="0">
      <items>
        <item x="6"/>
        <item x="4"/>
        <item x="1"/>
        <item x="2"/>
        <item x="0"/>
        <item x="3"/>
        <item x="8"/>
        <item x="5"/>
        <item x="7"/>
        <item x="9"/>
      </items>
    </pivotField>
    <pivotField name="total transactions2" axis="axisRow" compact="0" numFmtId="10" outline="0" multipleItemSelectionAllowed="1" showAll="0" sortType="ascending" defaultSubtotal="0">
      <items>
        <item x="9"/>
        <item x="7"/>
        <item x="8"/>
        <item x="6"/>
        <item x="5"/>
        <item x="4"/>
        <item x="3"/>
        <item x="2"/>
        <item x="1"/>
        <item x="0"/>
        <item x="10"/>
      </items>
    </pivotField>
    <pivotField name="revenue2" axis="axisRow" compact="0" numFmtId="10" outline="0" multipleItemSelectionAllowed="1" showAll="0" sortType="ascending" defaultSubtotal="0">
      <items>
        <item x="9"/>
        <item x="8"/>
        <item x="7"/>
        <item x="6"/>
        <item x="5"/>
        <item x="4"/>
        <item x="3"/>
        <item x="2"/>
        <item x="1"/>
        <item x="0"/>
        <item x="10"/>
      </items>
    </pivotField>
    <pivotField name="profit2" axis="axisRow" compact="0" numFmtId="10" outline="0" multipleItemSelectionAllowed="1" showAll="0" sortType="ascending" defaultSubtotal="0">
      <items>
        <item x="9"/>
        <item x="8"/>
        <item x="7"/>
        <item x="6"/>
        <item x="5"/>
        <item x="4"/>
        <item x="3"/>
        <item x="2"/>
        <item x="1"/>
        <item x="0"/>
        <item x="10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OF " axis="axisRow" compact="0" numFmtId="164" outline="0" multipleItemSelectionAllowed="1" showAll="0" sortType="ascending" defaultSubtotal="0">
      <items>
        <item x="9"/>
        <item x="8"/>
        <item x="7"/>
        <item x="6"/>
        <item x="5"/>
        <item x="4"/>
        <item x="3"/>
        <item x="10"/>
        <item x="2"/>
        <item x="1"/>
        <item x="0"/>
      </items>
    </pivotField>
    <pivotField name="AOV" axis="axisRow" compact="0" numFmtId="165" outline="0" multipleItemSelectionAllowed="1" showAll="0" sortType="ascending">
      <items>
        <item x="9"/>
        <item x="8"/>
        <item x="7"/>
        <item x="6"/>
        <item x="5"/>
        <item x="4"/>
        <item x="10"/>
        <item x="3"/>
        <item x="2"/>
        <item x="1"/>
        <item x="0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  <field x="5"/>
    <field x="6"/>
    <field x="7"/>
    <field x="8"/>
    <field x="11"/>
    <field x="12"/>
  </rowFields>
</pivotTableDefinition>
</file>

<file path=xl/pivotTables/pivotTable2.xml><?xml version="1.0" encoding="utf-8"?>
<pivotTableDefinition xmlns="http://schemas.openxmlformats.org/spreadsheetml/2006/main" name="Decile analysis 2" cacheId="0" dataCaption="" rowGrandTotals="0" compact="0" compactData="0">
  <location ref="B16:D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2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2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OF AVerage order frequenc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Value =Revenue/Transac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profit2" fld="8" baseField="0"/>
    <dataField name="SUM of revenue2" fld="7" baseField="0"/>
  </dataFields>
</pivotTableDefinition>
</file>

<file path=xl/pivotTables/pivotTable3.xml><?xml version="1.0" encoding="utf-8"?>
<pivotTableDefinition xmlns="http://schemas.openxmlformats.org/spreadsheetml/2006/main" name="Decile analysis 3" cacheId="1" dataCaption="" compact="0" compactData="0">
  <location ref="P16:Q21" firstHeaderRow="0" firstDataRow="1" firstDataCol="0"/>
  <pivotFields>
    <pivotField name="Deci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OF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rder Value =Revenue/Transac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1"/>
  </rowFields>
  <dataFields>
    <dataField name="SUM of # customers2" fld="5" showDataAs="percentOfCol" baseField="0" numFmtId="10"/>
  </dataFields>
</pivotTableDefinition>
</file>

<file path=xl/pivotTables/pivotTable4.xml><?xml version="1.0" encoding="utf-8"?>
<pivotTableDefinition xmlns="http://schemas.openxmlformats.org/spreadsheetml/2006/main" name="Decile analysis 4" cacheId="2" dataCaption="" compact="0" compactData="0">
  <location ref="S16:T22" firstHeaderRow="0" firstDataRow="1" firstDataCol="0"/>
  <pivotFields>
    <pivotField name="Deci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OF AVerage order frequenc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Value =Revenue/Transactions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2"/>
  </rowFields>
  <dataFields>
    <dataField name="SUM of # customers2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</v>
      </c>
      <c r="G1" s="1" t="s">
        <v>2</v>
      </c>
      <c r="H1" s="1" t="s">
        <v>3</v>
      </c>
      <c r="I1" s="1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>
      <c r="A2" s="6">
        <v>1.0</v>
      </c>
      <c r="B2" s="7">
        <v>3180.0</v>
      </c>
      <c r="C2" s="7">
        <v>17503.0</v>
      </c>
      <c r="D2" s="7">
        <v>1.28952505E8</v>
      </c>
      <c r="E2" s="7">
        <v>6.2160175E7</v>
      </c>
      <c r="F2" s="8">
        <f t="shared" ref="F2:I2" si="1">B2/B$12</f>
        <v>0.1000094349</v>
      </c>
      <c r="G2" s="9">
        <f t="shared" si="1"/>
        <v>0.2857166177</v>
      </c>
      <c r="H2" s="9">
        <f t="shared" si="1"/>
        <v>0.3960449742</v>
      </c>
      <c r="I2" s="9">
        <f t="shared" si="1"/>
        <v>0.3984214517</v>
      </c>
      <c r="J2" s="10">
        <f t="shared" ref="J2:J11" si="3">D2/B2</f>
        <v>40551.1022</v>
      </c>
      <c r="K2" s="10">
        <f>E2/B2</f>
        <v>19547.22484</v>
      </c>
      <c r="L2" s="11">
        <f t="shared" ref="L2:L3" si="4">C2/B2</f>
        <v>5.50408805</v>
      </c>
      <c r="M2" s="12">
        <v>7367.45157972919</v>
      </c>
      <c r="N2" s="13">
        <v>0.48203929811212276</v>
      </c>
    </row>
    <row r="3">
      <c r="A3" s="17">
        <v>2.0</v>
      </c>
      <c r="B3" s="18">
        <v>3180.0</v>
      </c>
      <c r="C3" s="18">
        <v>8703.0</v>
      </c>
      <c r="D3" s="18">
        <v>5.5542905E7</v>
      </c>
      <c r="E3" s="18">
        <v>2.707903E7</v>
      </c>
      <c r="F3" s="8">
        <f t="shared" ref="F3:I3" si="2">B3/B$12</f>
        <v>0.1000094349</v>
      </c>
      <c r="G3" s="9">
        <f t="shared" si="2"/>
        <v>0.1420666014</v>
      </c>
      <c r="H3" s="9">
        <f t="shared" si="2"/>
        <v>0.1705859718</v>
      </c>
      <c r="I3" s="9">
        <f t="shared" si="2"/>
        <v>0.1735655738</v>
      </c>
      <c r="J3" s="10">
        <f t="shared" si="3"/>
        <v>17466.32233</v>
      </c>
      <c r="K3" s="10">
        <v>8515.41823899371</v>
      </c>
      <c r="L3" s="11">
        <f t="shared" si="4"/>
        <v>2.736792453</v>
      </c>
      <c r="M3" s="12">
        <v>6382.0412501436285</v>
      </c>
      <c r="N3" s="13">
        <v>0.48753355626609735</v>
      </c>
    </row>
    <row r="4">
      <c r="A4" s="6">
        <v>3.0</v>
      </c>
      <c r="B4" s="7">
        <v>3177.0</v>
      </c>
      <c r="C4" s="7">
        <v>6345.0</v>
      </c>
      <c r="D4" s="7">
        <v>3.8274225E7</v>
      </c>
      <c r="E4" s="7">
        <v>1.8722055E7</v>
      </c>
      <c r="F4" s="8">
        <f t="shared" ref="F4:I4" si="5">B4/B$12</f>
        <v>0.09991508633</v>
      </c>
      <c r="G4" s="9">
        <f t="shared" si="5"/>
        <v>0.1035749265</v>
      </c>
      <c r="H4" s="9">
        <f t="shared" si="5"/>
        <v>0.1175495928</v>
      </c>
      <c r="I4" s="9">
        <f t="shared" si="5"/>
        <v>0.1200007615</v>
      </c>
      <c r="J4" s="10">
        <f t="shared" si="3"/>
        <v>12047.28517</v>
      </c>
      <c r="K4" s="10">
        <v>5892.9981114258735</v>
      </c>
      <c r="L4" s="11">
        <v>1.9971671388101984</v>
      </c>
      <c r="M4" s="12">
        <v>6032.1867612293145</v>
      </c>
      <c r="N4" s="13">
        <v>0.4891556915914039</v>
      </c>
    </row>
    <row r="5">
      <c r="A5" s="6">
        <v>4.0</v>
      </c>
      <c r="B5" s="7">
        <v>3178.0</v>
      </c>
      <c r="C5" s="7">
        <v>5349.0</v>
      </c>
      <c r="D5" s="7">
        <v>2.901701E7</v>
      </c>
      <c r="E5" s="7">
        <v>1.3916595E7</v>
      </c>
      <c r="F5" s="8">
        <f t="shared" ref="F5:I5" si="6">B5/B$12</f>
        <v>0.09994653584</v>
      </c>
      <c r="G5" s="9">
        <f t="shared" si="6"/>
        <v>0.08731635651</v>
      </c>
      <c r="H5" s="9">
        <f t="shared" si="6"/>
        <v>0.08911840044</v>
      </c>
      <c r="I5" s="9">
        <f t="shared" si="6"/>
        <v>0.08919971643</v>
      </c>
      <c r="J5" s="10">
        <f t="shared" si="3"/>
        <v>9130.58842</v>
      </c>
      <c r="K5" s="10">
        <v>4379.041850220265</v>
      </c>
      <c r="L5" s="11">
        <v>1.6831340465701699</v>
      </c>
      <c r="M5" s="12">
        <v>5424.75415965601</v>
      </c>
      <c r="N5" s="13">
        <v>0.47960127525199875</v>
      </c>
    </row>
    <row r="6">
      <c r="A6" s="6">
        <v>5.0</v>
      </c>
      <c r="B6" s="7">
        <v>3183.0</v>
      </c>
      <c r="C6" s="7">
        <v>4683.0</v>
      </c>
      <c r="D6" s="7">
        <v>2.2555225E7</v>
      </c>
      <c r="E6" s="7">
        <v>1.0734405E7</v>
      </c>
      <c r="F6" s="8">
        <f t="shared" ref="F6:I6" si="7">B6/B$12</f>
        <v>0.1001037834</v>
      </c>
      <c r="G6" s="9">
        <f t="shared" si="7"/>
        <v>0.0764446621</v>
      </c>
      <c r="H6" s="9">
        <f t="shared" si="7"/>
        <v>0.06927266364</v>
      </c>
      <c r="I6" s="9">
        <f t="shared" si="7"/>
        <v>0.06880317218</v>
      </c>
      <c r="J6" s="10">
        <f t="shared" si="3"/>
        <v>7086.153</v>
      </c>
      <c r="K6" s="10">
        <v>3372.4175306314796</v>
      </c>
      <c r="L6" s="11">
        <v>1.471253534401508</v>
      </c>
      <c r="M6" s="12">
        <v>4816.405082212257</v>
      </c>
      <c r="N6" s="13">
        <v>0.4759165559199698</v>
      </c>
    </row>
    <row r="7">
      <c r="A7" s="6">
        <v>6.0</v>
      </c>
      <c r="B7" s="7">
        <v>3124.0</v>
      </c>
      <c r="C7" s="7">
        <v>4330.0</v>
      </c>
      <c r="D7" s="7">
        <v>1.7169955E7</v>
      </c>
      <c r="E7" s="7">
        <v>7948270.0</v>
      </c>
      <c r="F7" s="8">
        <f t="shared" ref="F7:I7" si="8">B7/B$12</f>
        <v>0.09824826241</v>
      </c>
      <c r="G7" s="9">
        <f t="shared" si="8"/>
        <v>0.07068233758</v>
      </c>
      <c r="H7" s="9">
        <f t="shared" si="8"/>
        <v>0.05273317014</v>
      </c>
      <c r="I7" s="9">
        <f t="shared" si="8"/>
        <v>0.05094517948</v>
      </c>
      <c r="J7" s="10">
        <f t="shared" si="3"/>
        <v>5496.144366</v>
      </c>
      <c r="K7" s="10">
        <v>2544.260563380282</v>
      </c>
      <c r="L7" s="11">
        <v>1.3860435339308579</v>
      </c>
      <c r="M7" s="12">
        <v>3965.347575057737</v>
      </c>
      <c r="N7" s="13">
        <v>0.46291734602682416</v>
      </c>
    </row>
    <row r="8">
      <c r="A8" s="6">
        <v>7.0</v>
      </c>
      <c r="B8" s="7">
        <v>3233.0</v>
      </c>
      <c r="C8" s="7">
        <v>4004.0</v>
      </c>
      <c r="D8" s="7">
        <v>1.347071E7</v>
      </c>
      <c r="E8" s="7">
        <v>6240025.0</v>
      </c>
      <c r="F8" s="8">
        <f t="shared" ref="F8:I8" si="9">B8/B$12</f>
        <v>0.1016762588</v>
      </c>
      <c r="G8" s="9">
        <f t="shared" si="9"/>
        <v>0.06536075743</v>
      </c>
      <c r="H8" s="9">
        <f t="shared" si="9"/>
        <v>0.0413718756</v>
      </c>
      <c r="I8" s="9">
        <f t="shared" si="9"/>
        <v>0.03999602349</v>
      </c>
      <c r="J8" s="10">
        <f t="shared" si="3"/>
        <v>4166.628518</v>
      </c>
      <c r="K8" s="10">
        <v>1930.1036189297865</v>
      </c>
      <c r="L8" s="11">
        <v>1.238478193628209</v>
      </c>
      <c r="M8" s="12">
        <v>3364.313186813187</v>
      </c>
      <c r="N8" s="13">
        <v>0.4632291096757335</v>
      </c>
    </row>
    <row r="9">
      <c r="A9" s="6">
        <v>8.0</v>
      </c>
      <c r="B9" s="7">
        <v>2996.0</v>
      </c>
      <c r="C9" s="7">
        <v>3414.0</v>
      </c>
      <c r="D9" s="7">
        <v>9381075.0</v>
      </c>
      <c r="E9" s="7">
        <v>4326685.0</v>
      </c>
      <c r="F9" s="8">
        <f t="shared" ref="F9:I9" si="10">B9/B$12</f>
        <v>0.09422272541</v>
      </c>
      <c r="G9" s="9">
        <f t="shared" si="10"/>
        <v>0.05572967679</v>
      </c>
      <c r="H9" s="9">
        <f t="shared" si="10"/>
        <v>0.028811597</v>
      </c>
      <c r="I9" s="9">
        <f t="shared" si="10"/>
        <v>0.02773229192</v>
      </c>
      <c r="J9" s="10">
        <f t="shared" si="3"/>
        <v>3131.199933</v>
      </c>
      <c r="K9" s="10">
        <v>1444.1538718291056</v>
      </c>
      <c r="L9" s="11">
        <v>1.1395193591455273</v>
      </c>
      <c r="M9" s="12">
        <v>2747.8251318101934</v>
      </c>
      <c r="N9" s="13">
        <v>0.46121419986515405</v>
      </c>
    </row>
    <row r="10">
      <c r="A10" s="6">
        <v>9.0</v>
      </c>
      <c r="B10" s="7">
        <v>3360.0</v>
      </c>
      <c r="C10" s="7">
        <v>3659.0</v>
      </c>
      <c r="D10" s="7">
        <v>7496500.0</v>
      </c>
      <c r="E10" s="7">
        <v>3334100.0</v>
      </c>
      <c r="F10" s="8">
        <f t="shared" ref="F10:I10" si="11">B10/B$12</f>
        <v>0.1056703463</v>
      </c>
      <c r="G10" s="9">
        <f t="shared" si="11"/>
        <v>0.05972902383</v>
      </c>
      <c r="H10" s="9">
        <f t="shared" si="11"/>
        <v>0.02302360198</v>
      </c>
      <c r="I10" s="9">
        <f t="shared" si="11"/>
        <v>0.02137022559</v>
      </c>
      <c r="J10" s="10">
        <f t="shared" si="3"/>
        <v>2231.10119</v>
      </c>
      <c r="K10" s="10">
        <v>992.2916666666666</v>
      </c>
      <c r="L10" s="11">
        <v>1.0889880952380953</v>
      </c>
      <c r="M10" s="12">
        <v>2048.7838207160426</v>
      </c>
      <c r="N10" s="13">
        <v>0.4447542186353632</v>
      </c>
    </row>
    <row r="11">
      <c r="A11" s="6">
        <v>10.0</v>
      </c>
      <c r="B11" s="7">
        <v>3186.0</v>
      </c>
      <c r="C11" s="7">
        <v>3270.0</v>
      </c>
      <c r="D11" s="7">
        <v>3740550.0</v>
      </c>
      <c r="E11" s="7">
        <v>1554795.0</v>
      </c>
      <c r="F11" s="8">
        <f t="shared" ref="F11:I11" si="12">B11/B$12</f>
        <v>0.1001981319</v>
      </c>
      <c r="G11" s="9">
        <f t="shared" si="12"/>
        <v>0.05337904016</v>
      </c>
      <c r="H11" s="9">
        <f t="shared" si="12"/>
        <v>0.01148815239</v>
      </c>
      <c r="I11" s="9">
        <f t="shared" si="12"/>
        <v>0.009965603878</v>
      </c>
      <c r="J11" s="10">
        <f t="shared" si="3"/>
        <v>1174.05838</v>
      </c>
      <c r="K11" s="10">
        <v>488.00847457627117</v>
      </c>
      <c r="L11" s="11">
        <v>1.0263653483992468</v>
      </c>
      <c r="M11" s="12">
        <v>1143.8990825688074</v>
      </c>
      <c r="N11" s="13">
        <v>0.4156594618438465</v>
      </c>
    </row>
    <row r="12">
      <c r="A12" s="19" t="s">
        <v>12</v>
      </c>
      <c r="B12" s="20">
        <f t="shared" ref="B12:E12" si="13">SUM(B2:B11)</f>
        <v>31797</v>
      </c>
      <c r="C12" s="20">
        <f t="shared" si="13"/>
        <v>61260</v>
      </c>
      <c r="D12" s="20">
        <f t="shared" si="13"/>
        <v>325600660</v>
      </c>
      <c r="E12" s="20">
        <f t="shared" si="13"/>
        <v>156016135</v>
      </c>
      <c r="F12" s="21">
        <f t="shared" ref="F12:I12" si="14">B12/B$12</f>
        <v>1</v>
      </c>
      <c r="G12" s="22">
        <f t="shared" si="14"/>
        <v>1</v>
      </c>
      <c r="H12" s="22">
        <f t="shared" si="14"/>
        <v>1</v>
      </c>
      <c r="I12" s="22">
        <f t="shared" si="14"/>
        <v>1</v>
      </c>
      <c r="J12" s="23"/>
      <c r="K12" s="24">
        <v>4906.630656980218</v>
      </c>
      <c r="L12" s="25">
        <v>1.926596848759317</v>
      </c>
      <c r="M12" s="26">
        <v>5315.061377734248</v>
      </c>
      <c r="N12" s="21">
        <v>0.4791640625052787</v>
      </c>
    </row>
    <row r="16">
      <c r="F16" s="27" t="s">
        <v>15</v>
      </c>
      <c r="G16" s="27" t="s">
        <v>16</v>
      </c>
    </row>
    <row r="17">
      <c r="F17" s="28">
        <v>0.3984</v>
      </c>
      <c r="G17" s="28">
        <v>0.396</v>
      </c>
    </row>
    <row r="18">
      <c r="F18" s="30">
        <f t="shared" ref="F18:G18" si="15">F17+C18</f>
        <v>0.5719655738</v>
      </c>
      <c r="G18" s="30">
        <f t="shared" si="15"/>
        <v>0.5665859718</v>
      </c>
    </row>
    <row r="19">
      <c r="F19" s="30">
        <f t="shared" ref="F19:G19" si="16">F18+C19</f>
        <v>0.6919663353</v>
      </c>
      <c r="G19" s="30">
        <f t="shared" si="16"/>
        <v>0.6841355646</v>
      </c>
    </row>
    <row r="20">
      <c r="F20" s="30">
        <f t="shared" ref="F20:G20" si="17">F19+C20</f>
        <v>0.7811660517</v>
      </c>
      <c r="G20" s="30">
        <f t="shared" si="17"/>
        <v>0.773253965</v>
      </c>
    </row>
    <row r="21">
      <c r="F21" s="30">
        <f t="shared" ref="F21:G21" si="18">F20+C21</f>
        <v>0.8499692239</v>
      </c>
      <c r="G21" s="30">
        <f t="shared" si="18"/>
        <v>0.8425266287</v>
      </c>
    </row>
    <row r="22">
      <c r="F22" s="30">
        <f t="shared" ref="F22:G22" si="19">F21+C22</f>
        <v>0.9009144034</v>
      </c>
      <c r="G22" s="30">
        <f t="shared" si="19"/>
        <v>0.8952597988</v>
      </c>
    </row>
    <row r="23">
      <c r="F23" s="30">
        <f t="shared" ref="F23:G23" si="20">F22+C23</f>
        <v>0.9409104269</v>
      </c>
      <c r="G23" s="30">
        <f t="shared" si="20"/>
        <v>0.9366316744</v>
      </c>
    </row>
    <row r="24">
      <c r="F24" s="30">
        <f t="shared" ref="F24:G24" si="21">F23+C24</f>
        <v>0.9686427188</v>
      </c>
      <c r="G24" s="30">
        <f t="shared" si="21"/>
        <v>0.9654432714</v>
      </c>
    </row>
    <row r="25">
      <c r="F25" s="30">
        <f t="shared" ref="F25:G25" si="22">F24+C25</f>
        <v>0.9900129444</v>
      </c>
      <c r="G25" s="30">
        <f t="shared" si="22"/>
        <v>0.9884668734</v>
      </c>
    </row>
    <row r="26">
      <c r="F26" s="30">
        <f t="shared" ref="F26:G26" si="23">F25+C26</f>
        <v>0.9999785483</v>
      </c>
      <c r="G26" s="30">
        <f t="shared" si="23"/>
        <v>0.9999550258</v>
      </c>
    </row>
    <row r="27"/>
  </sheetData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31</v>
      </c>
      <c r="G1" s="35" t="s">
        <v>32</v>
      </c>
      <c r="H1" s="36" t="s">
        <v>17</v>
      </c>
      <c r="I1" s="35" t="s">
        <v>11</v>
      </c>
    </row>
    <row r="2">
      <c r="A2" s="37" t="s">
        <v>33</v>
      </c>
      <c r="B2" s="38">
        <v>2943.0</v>
      </c>
      <c r="C2" s="38">
        <v>3683.0</v>
      </c>
      <c r="D2" s="38">
        <v>2.180398E7</v>
      </c>
      <c r="E2" s="38">
        <v>1.0398135E7</v>
      </c>
      <c r="F2" s="5">
        <f t="shared" ref="F2:F17" si="2">B2/$B$2</f>
        <v>1</v>
      </c>
      <c r="G2" s="39">
        <f t="shared" ref="G2:G17" si="3">D2/B2</f>
        <v>7408.759769</v>
      </c>
      <c r="H2" s="15">
        <f t="shared" ref="H2:I2" si="1">C2/B2</f>
        <v>1.251444105</v>
      </c>
      <c r="I2" s="39">
        <f t="shared" si="1"/>
        <v>5920.168341</v>
      </c>
    </row>
    <row r="3">
      <c r="A3" s="40" t="s">
        <v>34</v>
      </c>
      <c r="B3" s="41">
        <v>346.0</v>
      </c>
      <c r="C3" s="41">
        <v>513.0</v>
      </c>
      <c r="D3" s="41">
        <v>2765015.0</v>
      </c>
      <c r="E3" s="41">
        <v>1386330.0</v>
      </c>
      <c r="F3" s="5">
        <f t="shared" si="2"/>
        <v>0.1175671084</v>
      </c>
      <c r="G3" s="39">
        <f t="shared" si="3"/>
        <v>7991.372832</v>
      </c>
      <c r="H3" s="15">
        <f t="shared" ref="H3:I3" si="4">C3/B3</f>
        <v>1.48265896</v>
      </c>
      <c r="I3" s="39">
        <f t="shared" si="4"/>
        <v>5389.892788</v>
      </c>
    </row>
    <row r="4">
      <c r="A4" s="40" t="s">
        <v>35</v>
      </c>
      <c r="B4" s="41">
        <v>313.0</v>
      </c>
      <c r="C4" s="41">
        <v>451.0</v>
      </c>
      <c r="D4" s="41">
        <v>2352130.0</v>
      </c>
      <c r="E4" s="41">
        <v>1173700.0</v>
      </c>
      <c r="F4" s="5">
        <f t="shared" si="2"/>
        <v>0.1063540605</v>
      </c>
      <c r="G4" s="39">
        <f t="shared" si="3"/>
        <v>7514.792332</v>
      </c>
      <c r="H4" s="15">
        <f t="shared" ref="H4:I4" si="5">C4/B4</f>
        <v>1.440894569</v>
      </c>
      <c r="I4" s="39">
        <f t="shared" si="5"/>
        <v>5215.365854</v>
      </c>
    </row>
    <row r="5">
      <c r="A5" s="40" t="s">
        <v>36</v>
      </c>
      <c r="B5" s="41">
        <v>485.0</v>
      </c>
      <c r="C5" s="41">
        <v>819.0</v>
      </c>
      <c r="D5" s="41">
        <v>4692930.0</v>
      </c>
      <c r="E5" s="41">
        <v>2335300.0</v>
      </c>
      <c r="F5" s="5">
        <f t="shared" si="2"/>
        <v>0.1647978253</v>
      </c>
      <c r="G5" s="39">
        <f t="shared" si="3"/>
        <v>9676.14433</v>
      </c>
      <c r="H5" s="15">
        <f t="shared" ref="H5:I5" si="6">C5/B5</f>
        <v>1.688659794</v>
      </c>
      <c r="I5" s="39">
        <f t="shared" si="6"/>
        <v>5730.07326</v>
      </c>
    </row>
    <row r="6">
      <c r="A6" s="40" t="s">
        <v>37</v>
      </c>
      <c r="B6" s="41">
        <v>296.0</v>
      </c>
      <c r="C6" s="41">
        <v>435.0</v>
      </c>
      <c r="D6" s="41">
        <v>2411530.0</v>
      </c>
      <c r="E6" s="41">
        <v>1161600.0</v>
      </c>
      <c r="F6" s="5">
        <f t="shared" si="2"/>
        <v>0.1005776419</v>
      </c>
      <c r="G6" s="39">
        <f t="shared" si="3"/>
        <v>8147.060811</v>
      </c>
      <c r="H6" s="15">
        <f t="shared" ref="H6:I6" si="7">C6/B6</f>
        <v>1.469594595</v>
      </c>
      <c r="I6" s="39">
        <f t="shared" si="7"/>
        <v>5543.747126</v>
      </c>
    </row>
    <row r="7">
      <c r="A7" s="40" t="s">
        <v>38</v>
      </c>
      <c r="B7" s="41">
        <v>286.0</v>
      </c>
      <c r="C7" s="41">
        <v>453.0</v>
      </c>
      <c r="D7" s="41">
        <v>2186470.0</v>
      </c>
      <c r="E7" s="41">
        <v>1074425.0</v>
      </c>
      <c r="F7" s="5">
        <f t="shared" si="2"/>
        <v>0.09717974856</v>
      </c>
      <c r="G7" s="39">
        <f t="shared" si="3"/>
        <v>7645</v>
      </c>
      <c r="H7" s="15">
        <f t="shared" ref="H7:I7" si="8">C7/B7</f>
        <v>1.583916084</v>
      </c>
      <c r="I7" s="39">
        <f t="shared" si="8"/>
        <v>4826.644592</v>
      </c>
    </row>
    <row r="8">
      <c r="A8" s="40" t="s">
        <v>39</v>
      </c>
      <c r="B8" s="41">
        <v>245.0</v>
      </c>
      <c r="C8" s="41">
        <v>396.0</v>
      </c>
      <c r="D8" s="41">
        <v>2040280.0</v>
      </c>
      <c r="E8" s="41">
        <v>988295.0</v>
      </c>
      <c r="F8" s="5">
        <f t="shared" si="2"/>
        <v>0.083248386</v>
      </c>
      <c r="G8" s="39">
        <f t="shared" si="3"/>
        <v>8327.673469</v>
      </c>
      <c r="H8" s="15">
        <f t="shared" ref="H8:I8" si="9">C8/B8</f>
        <v>1.616326531</v>
      </c>
      <c r="I8" s="39">
        <f t="shared" si="9"/>
        <v>5152.222222</v>
      </c>
    </row>
    <row r="9">
      <c r="A9" s="40" t="s">
        <v>40</v>
      </c>
      <c r="B9" s="41">
        <v>420.0</v>
      </c>
      <c r="C9" s="41">
        <v>808.0</v>
      </c>
      <c r="D9" s="41">
        <v>4619175.0</v>
      </c>
      <c r="E9" s="41">
        <v>2215950.0</v>
      </c>
      <c r="F9" s="5">
        <f t="shared" si="2"/>
        <v>0.1427115189</v>
      </c>
      <c r="G9" s="39">
        <f t="shared" si="3"/>
        <v>10998.03571</v>
      </c>
      <c r="H9" s="15">
        <f t="shared" ref="H9:I9" si="10">C9/B9</f>
        <v>1.923809524</v>
      </c>
      <c r="I9" s="39">
        <f t="shared" si="10"/>
        <v>5716.800743</v>
      </c>
    </row>
    <row r="10">
      <c r="A10" s="40" t="s">
        <v>41</v>
      </c>
      <c r="B10" s="41">
        <v>312.0</v>
      </c>
      <c r="C10" s="41">
        <v>481.0</v>
      </c>
      <c r="D10" s="41">
        <v>2391565.0</v>
      </c>
      <c r="E10" s="41">
        <v>1101815.0</v>
      </c>
      <c r="F10" s="5">
        <f t="shared" si="2"/>
        <v>0.1060142712</v>
      </c>
      <c r="G10" s="39">
        <f t="shared" si="3"/>
        <v>7665.272436</v>
      </c>
      <c r="H10" s="15">
        <f t="shared" ref="H10:I10" si="11">C10/B10</f>
        <v>1.541666667</v>
      </c>
      <c r="I10" s="39">
        <f t="shared" si="11"/>
        <v>4972.068607</v>
      </c>
    </row>
    <row r="11">
      <c r="A11" s="40" t="s">
        <v>42</v>
      </c>
      <c r="B11" s="41">
        <v>281.0</v>
      </c>
      <c r="C11" s="41">
        <v>462.0</v>
      </c>
      <c r="D11" s="41">
        <v>2061895.0</v>
      </c>
      <c r="E11" s="41">
        <v>960080.0</v>
      </c>
      <c r="F11" s="5">
        <f t="shared" si="2"/>
        <v>0.0954808019</v>
      </c>
      <c r="G11" s="39">
        <f t="shared" si="3"/>
        <v>7337.704626</v>
      </c>
      <c r="H11" s="15">
        <f t="shared" ref="H11:I11" si="12">C11/B11</f>
        <v>1.644128114</v>
      </c>
      <c r="I11" s="39">
        <f t="shared" si="12"/>
        <v>4462.97619</v>
      </c>
    </row>
    <row r="12">
      <c r="A12" s="40" t="s">
        <v>43</v>
      </c>
      <c r="B12" s="41">
        <v>220.0</v>
      </c>
      <c r="C12" s="41">
        <v>384.0</v>
      </c>
      <c r="D12" s="41">
        <v>1826220.0</v>
      </c>
      <c r="E12" s="41">
        <v>838310.0</v>
      </c>
      <c r="F12" s="5">
        <f t="shared" si="2"/>
        <v>0.07475365274</v>
      </c>
      <c r="G12" s="39">
        <f t="shared" si="3"/>
        <v>8301</v>
      </c>
      <c r="H12" s="15">
        <f t="shared" ref="H12:I12" si="13">C12/B12</f>
        <v>1.745454545</v>
      </c>
      <c r="I12" s="39">
        <f t="shared" si="13"/>
        <v>4755.78125</v>
      </c>
    </row>
    <row r="13">
      <c r="A13" s="40" t="s">
        <v>44</v>
      </c>
      <c r="B13" s="41">
        <v>358.0</v>
      </c>
      <c r="C13" s="41">
        <v>722.0</v>
      </c>
      <c r="D13" s="41">
        <v>3652880.0</v>
      </c>
      <c r="E13" s="41">
        <v>1726835.0</v>
      </c>
      <c r="F13" s="5">
        <f t="shared" si="2"/>
        <v>0.1216445804</v>
      </c>
      <c r="G13" s="39">
        <f t="shared" si="3"/>
        <v>10203.57542</v>
      </c>
      <c r="H13" s="15">
        <f t="shared" ref="H13:I13" si="14">C13/B13</f>
        <v>2.016759777</v>
      </c>
      <c r="I13" s="39">
        <f t="shared" si="14"/>
        <v>5059.390582</v>
      </c>
    </row>
    <row r="14">
      <c r="A14" s="40" t="s">
        <v>45</v>
      </c>
      <c r="B14" s="41">
        <v>244.0</v>
      </c>
      <c r="C14" s="41">
        <v>397.0</v>
      </c>
      <c r="D14" s="41">
        <v>1945185.0</v>
      </c>
      <c r="E14" s="41">
        <v>908215.0</v>
      </c>
      <c r="F14" s="5">
        <f t="shared" si="2"/>
        <v>0.08290859667</v>
      </c>
      <c r="G14" s="39">
        <f t="shared" si="3"/>
        <v>7972.069672</v>
      </c>
      <c r="H14" s="15">
        <f t="shared" ref="H14:I14" si="15">C14/B14</f>
        <v>1.62704918</v>
      </c>
      <c r="I14" s="39">
        <f t="shared" si="15"/>
        <v>4899.710327</v>
      </c>
    </row>
    <row r="15">
      <c r="A15" s="40" t="s">
        <v>46</v>
      </c>
      <c r="B15" s="41">
        <v>236.0</v>
      </c>
      <c r="C15" s="41">
        <v>390.0</v>
      </c>
      <c r="D15" s="41">
        <v>1882925.0</v>
      </c>
      <c r="E15" s="41">
        <v>884840.0</v>
      </c>
      <c r="F15" s="5">
        <f t="shared" si="2"/>
        <v>0.08019028203</v>
      </c>
      <c r="G15" s="39">
        <f t="shared" si="3"/>
        <v>7978.495763</v>
      </c>
      <c r="H15" s="15">
        <f t="shared" ref="H15:I15" si="16">C15/B15</f>
        <v>1.652542373</v>
      </c>
      <c r="I15" s="39">
        <f t="shared" si="16"/>
        <v>4828.012821</v>
      </c>
    </row>
    <row r="16">
      <c r="A16" s="40" t="s">
        <v>47</v>
      </c>
      <c r="B16" s="41">
        <v>201.0</v>
      </c>
      <c r="C16" s="41">
        <v>338.0</v>
      </c>
      <c r="D16" s="41">
        <v>1504580.0</v>
      </c>
      <c r="E16" s="41">
        <v>703560.0</v>
      </c>
      <c r="F16" s="5">
        <f t="shared" si="2"/>
        <v>0.06829765545</v>
      </c>
      <c r="G16" s="39">
        <f t="shared" si="3"/>
        <v>7485.472637</v>
      </c>
      <c r="H16" s="15">
        <f t="shared" ref="H16:I16" si="17">C16/B16</f>
        <v>1.68159204</v>
      </c>
      <c r="I16" s="39">
        <f t="shared" si="17"/>
        <v>4451.420118</v>
      </c>
    </row>
    <row r="17">
      <c r="A17" s="40" t="s">
        <v>48</v>
      </c>
      <c r="B17" s="41">
        <v>353.0</v>
      </c>
      <c r="C17" s="41">
        <v>657.0</v>
      </c>
      <c r="D17" s="41">
        <v>3447070.0</v>
      </c>
      <c r="E17" s="41">
        <v>1627065.0</v>
      </c>
      <c r="F17" s="5">
        <f t="shared" si="2"/>
        <v>0.1199456337</v>
      </c>
      <c r="G17" s="39">
        <f t="shared" si="3"/>
        <v>9765.070822</v>
      </c>
      <c r="H17" s="15">
        <f t="shared" ref="H17:I17" si="18">C17/B17</f>
        <v>1.861189802</v>
      </c>
      <c r="I17" s="39">
        <f t="shared" si="18"/>
        <v>5246.681887</v>
      </c>
    </row>
    <row r="18">
      <c r="F18" s="5"/>
      <c r="G18" s="39"/>
      <c r="H18" s="15"/>
      <c r="I18" s="39"/>
    </row>
    <row r="19">
      <c r="F19" s="5"/>
      <c r="G19" s="39"/>
      <c r="H19" s="15"/>
      <c r="I19" s="39"/>
    </row>
    <row r="20">
      <c r="F20" s="5"/>
      <c r="G20" s="39"/>
      <c r="H20" s="15"/>
      <c r="I20" s="39"/>
    </row>
    <row r="21">
      <c r="F21" s="5"/>
      <c r="G21" s="39"/>
      <c r="H21" s="15"/>
      <c r="I21" s="39"/>
    </row>
    <row r="22">
      <c r="F22" s="5"/>
      <c r="G22" s="39"/>
      <c r="H22" s="15"/>
      <c r="I22" s="39"/>
    </row>
    <row r="23">
      <c r="F23" s="5"/>
      <c r="G23" s="39"/>
      <c r="H23" s="15"/>
      <c r="I23" s="39"/>
    </row>
    <row r="24">
      <c r="F24" s="5"/>
      <c r="G24" s="39"/>
      <c r="H24" s="15"/>
      <c r="I24" s="39"/>
    </row>
    <row r="25">
      <c r="F25" s="5"/>
      <c r="G25" s="39"/>
      <c r="H25" s="15"/>
      <c r="I25" s="39"/>
    </row>
    <row r="26">
      <c r="F26" s="5"/>
      <c r="G26" s="39"/>
      <c r="H26" s="15"/>
      <c r="I26" s="39"/>
    </row>
    <row r="27">
      <c r="F27" s="5"/>
      <c r="G27" s="39"/>
      <c r="H27" s="15"/>
      <c r="I27" s="39"/>
    </row>
    <row r="28">
      <c r="F28" s="5"/>
      <c r="G28" s="39"/>
      <c r="H28" s="15"/>
      <c r="I28" s="39"/>
    </row>
    <row r="29">
      <c r="F29" s="5"/>
      <c r="G29" s="39"/>
      <c r="H29" s="15"/>
      <c r="I29" s="39"/>
    </row>
    <row r="30">
      <c r="F30" s="5"/>
      <c r="G30" s="39"/>
      <c r="H30" s="15"/>
      <c r="I30" s="39"/>
    </row>
    <row r="31">
      <c r="F31" s="5"/>
      <c r="G31" s="39"/>
      <c r="H31" s="15"/>
      <c r="I31" s="39"/>
    </row>
    <row r="32">
      <c r="F32" s="5"/>
      <c r="G32" s="39"/>
      <c r="H32" s="15"/>
      <c r="I32" s="39"/>
    </row>
    <row r="33">
      <c r="F33" s="5"/>
      <c r="G33" s="39"/>
      <c r="H33" s="15"/>
      <c r="I33" s="39"/>
    </row>
    <row r="34">
      <c r="F34" s="5"/>
      <c r="G34" s="39"/>
      <c r="H34" s="15"/>
      <c r="I34" s="39"/>
    </row>
    <row r="35">
      <c r="F35" s="5"/>
      <c r="G35" s="39"/>
      <c r="H35" s="15"/>
      <c r="I35" s="39"/>
    </row>
    <row r="36">
      <c r="F36" s="5"/>
      <c r="G36" s="39"/>
      <c r="H36" s="15"/>
      <c r="I36" s="39"/>
    </row>
    <row r="37">
      <c r="F37" s="5"/>
      <c r="G37" s="39"/>
      <c r="H37" s="15"/>
      <c r="I37" s="39"/>
    </row>
    <row r="38">
      <c r="F38" s="5"/>
      <c r="G38" s="39"/>
      <c r="H38" s="15"/>
      <c r="I38" s="39"/>
    </row>
    <row r="39">
      <c r="F39" s="5"/>
      <c r="G39" s="39"/>
      <c r="H39" s="15"/>
      <c r="I39" s="39"/>
    </row>
    <row r="40">
      <c r="F40" s="5"/>
      <c r="G40" s="39"/>
      <c r="H40" s="15"/>
      <c r="I40" s="39"/>
    </row>
    <row r="41">
      <c r="F41" s="5"/>
      <c r="G41" s="39"/>
      <c r="H41" s="15"/>
      <c r="I41" s="39"/>
    </row>
    <row r="42">
      <c r="F42" s="5"/>
      <c r="G42" s="39"/>
      <c r="H42" s="15"/>
      <c r="I42" s="39"/>
    </row>
    <row r="43">
      <c r="F43" s="5"/>
      <c r="G43" s="39"/>
      <c r="H43" s="15"/>
      <c r="I43" s="39"/>
    </row>
    <row r="44">
      <c r="F44" s="5"/>
      <c r="G44" s="39"/>
      <c r="H44" s="15"/>
      <c r="I44" s="39"/>
    </row>
    <row r="45">
      <c r="F45" s="5"/>
      <c r="G45" s="39"/>
      <c r="H45" s="15"/>
      <c r="I45" s="39"/>
    </row>
    <row r="46">
      <c r="F46" s="5"/>
      <c r="G46" s="39"/>
      <c r="H46" s="15"/>
      <c r="I46" s="39"/>
    </row>
    <row r="47">
      <c r="F47" s="5"/>
      <c r="G47" s="39"/>
      <c r="H47" s="15"/>
      <c r="I47" s="39"/>
    </row>
    <row r="48">
      <c r="F48" s="5"/>
      <c r="G48" s="39"/>
      <c r="H48" s="15"/>
      <c r="I48" s="39"/>
    </row>
    <row r="49">
      <c r="F49" s="5"/>
      <c r="G49" s="39"/>
      <c r="H49" s="15"/>
      <c r="I49" s="39"/>
    </row>
    <row r="50">
      <c r="F50" s="5"/>
      <c r="G50" s="39"/>
      <c r="H50" s="15"/>
      <c r="I50" s="39"/>
    </row>
    <row r="51">
      <c r="F51" s="5"/>
      <c r="G51" s="39"/>
      <c r="H51" s="15"/>
      <c r="I51" s="39"/>
    </row>
    <row r="52">
      <c r="F52" s="5"/>
      <c r="G52" s="39"/>
      <c r="H52" s="15"/>
      <c r="I52" s="39"/>
    </row>
    <row r="53">
      <c r="F53" s="5"/>
      <c r="G53" s="39"/>
      <c r="H53" s="15"/>
      <c r="I53" s="39"/>
    </row>
    <row r="54">
      <c r="F54" s="5"/>
      <c r="G54" s="39"/>
      <c r="H54" s="15"/>
      <c r="I54" s="39"/>
    </row>
    <row r="55">
      <c r="F55" s="5"/>
      <c r="G55" s="39"/>
      <c r="H55" s="15"/>
      <c r="I55" s="39"/>
    </row>
    <row r="56">
      <c r="F56" s="5"/>
      <c r="G56" s="39"/>
      <c r="H56" s="15"/>
      <c r="I56" s="39"/>
    </row>
    <row r="57">
      <c r="F57" s="5"/>
      <c r="G57" s="39"/>
      <c r="H57" s="15"/>
      <c r="I57" s="39"/>
    </row>
    <row r="58">
      <c r="F58" s="5"/>
      <c r="G58" s="39"/>
      <c r="H58" s="15"/>
      <c r="I58" s="39"/>
    </row>
    <row r="59">
      <c r="F59" s="5"/>
      <c r="G59" s="39"/>
      <c r="H59" s="15"/>
      <c r="I59" s="39"/>
    </row>
    <row r="60">
      <c r="F60" s="5"/>
      <c r="G60" s="39"/>
      <c r="H60" s="15"/>
      <c r="I60" s="39"/>
    </row>
    <row r="61">
      <c r="F61" s="5"/>
      <c r="G61" s="39"/>
      <c r="H61" s="15"/>
      <c r="I61" s="39"/>
    </row>
    <row r="62">
      <c r="F62" s="5"/>
      <c r="G62" s="39"/>
      <c r="H62" s="15"/>
      <c r="I62" s="39"/>
    </row>
    <row r="63">
      <c r="F63" s="5"/>
      <c r="G63" s="39"/>
      <c r="H63" s="15"/>
      <c r="I63" s="39"/>
    </row>
    <row r="64">
      <c r="F64" s="5"/>
      <c r="G64" s="39"/>
      <c r="H64" s="15"/>
      <c r="I64" s="39"/>
    </row>
    <row r="65">
      <c r="F65" s="5"/>
      <c r="G65" s="39"/>
      <c r="H65" s="15"/>
      <c r="I65" s="39"/>
    </row>
    <row r="66">
      <c r="F66" s="5"/>
      <c r="G66" s="39"/>
      <c r="H66" s="15"/>
      <c r="I66" s="39"/>
    </row>
    <row r="67">
      <c r="F67" s="5"/>
      <c r="G67" s="39"/>
      <c r="H67" s="15"/>
      <c r="I67" s="39"/>
    </row>
    <row r="68">
      <c r="F68" s="5"/>
      <c r="G68" s="39"/>
      <c r="H68" s="15"/>
      <c r="I68" s="39"/>
    </row>
    <row r="69">
      <c r="F69" s="5"/>
      <c r="G69" s="39"/>
      <c r="H69" s="15"/>
      <c r="I69" s="39"/>
    </row>
    <row r="70">
      <c r="F70" s="5"/>
      <c r="G70" s="39"/>
      <c r="H70" s="15"/>
      <c r="I70" s="39"/>
    </row>
    <row r="71">
      <c r="F71" s="5"/>
      <c r="G71" s="39"/>
      <c r="H71" s="15"/>
      <c r="I71" s="39"/>
    </row>
    <row r="72">
      <c r="F72" s="5"/>
      <c r="G72" s="39"/>
      <c r="H72" s="15"/>
      <c r="I72" s="39"/>
    </row>
    <row r="73">
      <c r="F73" s="5"/>
      <c r="G73" s="39"/>
      <c r="H73" s="15"/>
      <c r="I73" s="39"/>
    </row>
    <row r="74">
      <c r="F74" s="5"/>
      <c r="G74" s="39"/>
      <c r="H74" s="15"/>
      <c r="I74" s="39"/>
    </row>
    <row r="75">
      <c r="F75" s="5"/>
      <c r="G75" s="39"/>
      <c r="H75" s="15"/>
      <c r="I75" s="39"/>
    </row>
    <row r="76">
      <c r="F76" s="5"/>
      <c r="G76" s="39"/>
      <c r="H76" s="15"/>
      <c r="I76" s="39"/>
    </row>
    <row r="77">
      <c r="F77" s="5"/>
      <c r="G77" s="39"/>
      <c r="H77" s="15"/>
      <c r="I77" s="39"/>
    </row>
    <row r="78">
      <c r="F78" s="5"/>
      <c r="G78" s="39"/>
      <c r="H78" s="15"/>
      <c r="I78" s="39"/>
    </row>
    <row r="79">
      <c r="F79" s="5"/>
      <c r="G79" s="39"/>
      <c r="H79" s="15"/>
      <c r="I79" s="39"/>
    </row>
    <row r="80">
      <c r="F80" s="5"/>
      <c r="G80" s="39"/>
      <c r="H80" s="15"/>
      <c r="I80" s="39"/>
    </row>
    <row r="81">
      <c r="F81" s="5"/>
      <c r="G81" s="39"/>
      <c r="H81" s="15"/>
      <c r="I81" s="39"/>
    </row>
    <row r="82">
      <c r="F82" s="5"/>
      <c r="G82" s="39"/>
      <c r="H82" s="15"/>
      <c r="I82" s="39"/>
    </row>
    <row r="83">
      <c r="F83" s="5"/>
      <c r="G83" s="39"/>
      <c r="H83" s="15"/>
      <c r="I83" s="39"/>
    </row>
    <row r="84">
      <c r="F84" s="5"/>
      <c r="G84" s="39"/>
      <c r="H84" s="15"/>
      <c r="I84" s="39"/>
    </row>
    <row r="85">
      <c r="F85" s="5"/>
      <c r="G85" s="39"/>
      <c r="H85" s="15"/>
      <c r="I85" s="39"/>
    </row>
    <row r="86">
      <c r="F86" s="5"/>
      <c r="G86" s="39"/>
      <c r="H86" s="15"/>
      <c r="I86" s="39"/>
    </row>
    <row r="87">
      <c r="F87" s="5"/>
      <c r="G87" s="39"/>
      <c r="H87" s="15"/>
      <c r="I87" s="39"/>
    </row>
    <row r="88">
      <c r="F88" s="5"/>
      <c r="G88" s="39"/>
      <c r="H88" s="15"/>
      <c r="I88" s="39"/>
    </row>
    <row r="89">
      <c r="F89" s="5"/>
      <c r="G89" s="39"/>
      <c r="H89" s="15"/>
      <c r="I89" s="39"/>
    </row>
    <row r="90">
      <c r="F90" s="5"/>
      <c r="G90" s="39"/>
      <c r="H90" s="15"/>
      <c r="I90" s="39"/>
    </row>
    <row r="91">
      <c r="F91" s="5"/>
      <c r="G91" s="39"/>
      <c r="H91" s="15"/>
      <c r="I91" s="39"/>
    </row>
    <row r="92">
      <c r="F92" s="5"/>
      <c r="G92" s="39"/>
      <c r="H92" s="15"/>
      <c r="I92" s="39"/>
    </row>
    <row r="93">
      <c r="F93" s="5"/>
      <c r="G93" s="39"/>
      <c r="H93" s="15"/>
      <c r="I93" s="39"/>
    </row>
    <row r="94">
      <c r="F94" s="5"/>
      <c r="G94" s="39"/>
      <c r="H94" s="15"/>
      <c r="I94" s="39"/>
    </row>
    <row r="95">
      <c r="F95" s="5"/>
      <c r="G95" s="39"/>
      <c r="H95" s="15"/>
      <c r="I95" s="39"/>
    </row>
    <row r="96">
      <c r="F96" s="5"/>
      <c r="G96" s="39"/>
      <c r="H96" s="15"/>
      <c r="I96" s="39"/>
    </row>
    <row r="97">
      <c r="F97" s="5"/>
      <c r="G97" s="39"/>
      <c r="H97" s="15"/>
      <c r="I97" s="39"/>
    </row>
    <row r="98">
      <c r="F98" s="5"/>
      <c r="G98" s="39"/>
      <c r="H98" s="15"/>
      <c r="I98" s="39"/>
    </row>
    <row r="99">
      <c r="F99" s="5"/>
      <c r="G99" s="39"/>
      <c r="H99" s="15"/>
      <c r="I99" s="39"/>
    </row>
    <row r="100">
      <c r="F100" s="5"/>
      <c r="G100" s="39"/>
      <c r="H100" s="15"/>
      <c r="I100" s="39"/>
    </row>
    <row r="101">
      <c r="F101" s="5"/>
      <c r="G101" s="39"/>
      <c r="H101" s="15"/>
      <c r="I101" s="39"/>
    </row>
    <row r="102">
      <c r="F102" s="5"/>
      <c r="G102" s="39"/>
      <c r="H102" s="15"/>
      <c r="I102" s="39"/>
    </row>
    <row r="103">
      <c r="F103" s="5"/>
      <c r="G103" s="39"/>
      <c r="H103" s="15"/>
      <c r="I103" s="39"/>
    </row>
    <row r="104">
      <c r="F104" s="5"/>
      <c r="G104" s="39"/>
      <c r="H104" s="15"/>
      <c r="I104" s="39"/>
    </row>
    <row r="105">
      <c r="F105" s="5"/>
      <c r="G105" s="39"/>
      <c r="H105" s="15"/>
      <c r="I105" s="39"/>
    </row>
    <row r="106">
      <c r="F106" s="5"/>
      <c r="G106" s="39"/>
      <c r="H106" s="15"/>
      <c r="I106" s="39"/>
    </row>
    <row r="107">
      <c r="F107" s="5"/>
      <c r="G107" s="39"/>
      <c r="H107" s="15"/>
      <c r="I107" s="39"/>
    </row>
    <row r="108">
      <c r="F108" s="5"/>
      <c r="G108" s="39"/>
      <c r="H108" s="15"/>
      <c r="I108" s="39"/>
    </row>
    <row r="109">
      <c r="F109" s="5"/>
      <c r="G109" s="39"/>
      <c r="H109" s="15"/>
      <c r="I109" s="39"/>
    </row>
    <row r="110">
      <c r="F110" s="5"/>
      <c r="G110" s="39"/>
      <c r="H110" s="15"/>
      <c r="I110" s="39"/>
    </row>
    <row r="111">
      <c r="F111" s="5"/>
      <c r="G111" s="39"/>
      <c r="H111" s="15"/>
      <c r="I111" s="39"/>
    </row>
    <row r="112">
      <c r="F112" s="5"/>
      <c r="G112" s="39"/>
      <c r="H112" s="15"/>
      <c r="I112" s="39"/>
    </row>
    <row r="113">
      <c r="F113" s="5"/>
      <c r="G113" s="39"/>
      <c r="H113" s="15"/>
      <c r="I113" s="39"/>
    </row>
    <row r="114">
      <c r="F114" s="5"/>
      <c r="G114" s="39"/>
      <c r="H114" s="15"/>
      <c r="I114" s="39"/>
    </row>
    <row r="115">
      <c r="F115" s="5"/>
      <c r="G115" s="39"/>
      <c r="H115" s="15"/>
      <c r="I115" s="39"/>
    </row>
    <row r="116">
      <c r="F116" s="5"/>
      <c r="G116" s="39"/>
      <c r="H116" s="15"/>
      <c r="I116" s="39"/>
    </row>
    <row r="117">
      <c r="F117" s="5"/>
      <c r="G117" s="39"/>
      <c r="H117" s="15"/>
      <c r="I117" s="39"/>
    </row>
    <row r="118">
      <c r="F118" s="5"/>
      <c r="G118" s="39"/>
      <c r="H118" s="15"/>
      <c r="I118" s="39"/>
    </row>
    <row r="119">
      <c r="F119" s="5"/>
      <c r="G119" s="39"/>
      <c r="H119" s="15"/>
      <c r="I119" s="39"/>
    </row>
    <row r="120">
      <c r="F120" s="5"/>
      <c r="G120" s="39"/>
      <c r="H120" s="15"/>
      <c r="I120" s="39"/>
    </row>
    <row r="121">
      <c r="F121" s="5"/>
      <c r="G121" s="39"/>
      <c r="H121" s="15"/>
      <c r="I121" s="39"/>
    </row>
    <row r="122">
      <c r="F122" s="5"/>
      <c r="G122" s="39"/>
      <c r="H122" s="15"/>
      <c r="I122" s="39"/>
    </row>
    <row r="123">
      <c r="F123" s="5"/>
      <c r="G123" s="39"/>
      <c r="H123" s="15"/>
      <c r="I123" s="39"/>
    </row>
    <row r="124">
      <c r="F124" s="5"/>
      <c r="G124" s="39"/>
      <c r="H124" s="15"/>
      <c r="I124" s="39"/>
    </row>
    <row r="125">
      <c r="F125" s="5"/>
      <c r="G125" s="39"/>
      <c r="H125" s="15"/>
      <c r="I125" s="39"/>
    </row>
    <row r="126">
      <c r="F126" s="5"/>
      <c r="G126" s="39"/>
      <c r="H126" s="15"/>
      <c r="I126" s="39"/>
    </row>
    <row r="127">
      <c r="F127" s="5"/>
      <c r="G127" s="39"/>
      <c r="H127" s="15"/>
      <c r="I127" s="39"/>
    </row>
    <row r="128">
      <c r="F128" s="5"/>
      <c r="G128" s="39"/>
      <c r="H128" s="15"/>
      <c r="I128" s="39"/>
    </row>
    <row r="129">
      <c r="F129" s="5"/>
      <c r="G129" s="39"/>
      <c r="H129" s="15"/>
      <c r="I129" s="39"/>
    </row>
    <row r="130">
      <c r="F130" s="5"/>
      <c r="G130" s="39"/>
      <c r="H130" s="15"/>
      <c r="I130" s="39"/>
    </row>
    <row r="131">
      <c r="F131" s="5"/>
      <c r="G131" s="39"/>
      <c r="H131" s="15"/>
      <c r="I131" s="39"/>
    </row>
    <row r="132">
      <c r="F132" s="5"/>
      <c r="G132" s="39"/>
      <c r="H132" s="15"/>
      <c r="I132" s="39"/>
    </row>
    <row r="133">
      <c r="F133" s="5"/>
      <c r="G133" s="39"/>
      <c r="H133" s="15"/>
      <c r="I133" s="39"/>
    </row>
    <row r="134">
      <c r="F134" s="5"/>
      <c r="G134" s="39"/>
      <c r="H134" s="15"/>
      <c r="I134" s="39"/>
    </row>
    <row r="135">
      <c r="F135" s="5"/>
      <c r="G135" s="39"/>
      <c r="H135" s="15"/>
      <c r="I135" s="39"/>
    </row>
    <row r="136">
      <c r="F136" s="5"/>
      <c r="G136" s="39"/>
      <c r="H136" s="15"/>
      <c r="I136" s="39"/>
    </row>
    <row r="137">
      <c r="F137" s="5"/>
      <c r="G137" s="39"/>
      <c r="H137" s="15"/>
      <c r="I137" s="39"/>
    </row>
    <row r="138">
      <c r="F138" s="5"/>
      <c r="G138" s="39"/>
      <c r="H138" s="15"/>
      <c r="I138" s="39"/>
    </row>
    <row r="139">
      <c r="F139" s="5"/>
      <c r="G139" s="39"/>
      <c r="H139" s="15"/>
      <c r="I139" s="39"/>
    </row>
    <row r="140">
      <c r="F140" s="5"/>
      <c r="G140" s="39"/>
      <c r="H140" s="15"/>
      <c r="I140" s="39"/>
    </row>
    <row r="141">
      <c r="F141" s="5"/>
      <c r="G141" s="39"/>
      <c r="H141" s="15"/>
      <c r="I141" s="39"/>
    </row>
    <row r="142">
      <c r="F142" s="5"/>
      <c r="G142" s="39"/>
      <c r="H142" s="15"/>
      <c r="I142" s="39"/>
    </row>
    <row r="143">
      <c r="F143" s="5"/>
      <c r="G143" s="39"/>
      <c r="H143" s="15"/>
      <c r="I143" s="39"/>
    </row>
    <row r="144">
      <c r="F144" s="5"/>
      <c r="G144" s="39"/>
      <c r="H144" s="15"/>
      <c r="I144" s="39"/>
    </row>
    <row r="145">
      <c r="F145" s="5"/>
      <c r="G145" s="39"/>
      <c r="H145" s="15"/>
      <c r="I145" s="39"/>
    </row>
    <row r="146">
      <c r="F146" s="5"/>
      <c r="G146" s="39"/>
      <c r="H146" s="15"/>
      <c r="I146" s="39"/>
    </row>
    <row r="147">
      <c r="F147" s="5"/>
      <c r="G147" s="39"/>
      <c r="H147" s="15"/>
      <c r="I147" s="39"/>
    </row>
    <row r="148">
      <c r="F148" s="5"/>
      <c r="G148" s="39"/>
      <c r="H148" s="15"/>
      <c r="I148" s="39"/>
    </row>
    <row r="149">
      <c r="F149" s="5"/>
      <c r="G149" s="39"/>
      <c r="H149" s="15"/>
      <c r="I149" s="39"/>
    </row>
    <row r="150">
      <c r="F150" s="5"/>
      <c r="G150" s="39"/>
      <c r="H150" s="15"/>
      <c r="I150" s="39"/>
    </row>
    <row r="151">
      <c r="F151" s="5"/>
      <c r="G151" s="39"/>
      <c r="H151" s="15"/>
      <c r="I151" s="39"/>
    </row>
    <row r="152">
      <c r="F152" s="5"/>
      <c r="G152" s="39"/>
      <c r="H152" s="15"/>
      <c r="I152" s="39"/>
    </row>
    <row r="153">
      <c r="F153" s="5"/>
      <c r="G153" s="39"/>
      <c r="H153" s="15"/>
      <c r="I153" s="39"/>
    </row>
    <row r="154">
      <c r="F154" s="5"/>
      <c r="G154" s="39"/>
      <c r="H154" s="15"/>
      <c r="I154" s="39"/>
    </row>
    <row r="155">
      <c r="F155" s="5"/>
      <c r="G155" s="39"/>
      <c r="H155" s="15"/>
      <c r="I155" s="39"/>
    </row>
    <row r="156">
      <c r="F156" s="5"/>
      <c r="G156" s="39"/>
      <c r="H156" s="15"/>
      <c r="I156" s="39"/>
    </row>
    <row r="157">
      <c r="F157" s="5"/>
      <c r="G157" s="39"/>
      <c r="H157" s="15"/>
      <c r="I157" s="39"/>
    </row>
    <row r="158">
      <c r="F158" s="5"/>
      <c r="G158" s="39"/>
      <c r="H158" s="15"/>
      <c r="I158" s="39"/>
    </row>
    <row r="159">
      <c r="F159" s="5"/>
      <c r="G159" s="39"/>
      <c r="H159" s="15"/>
      <c r="I159" s="39"/>
    </row>
    <row r="160">
      <c r="F160" s="5"/>
      <c r="G160" s="39"/>
      <c r="H160" s="15"/>
      <c r="I160" s="39"/>
    </row>
    <row r="161">
      <c r="F161" s="5"/>
      <c r="G161" s="39"/>
      <c r="H161" s="15"/>
      <c r="I161" s="39"/>
    </row>
    <row r="162">
      <c r="F162" s="5"/>
      <c r="G162" s="39"/>
      <c r="H162" s="15"/>
      <c r="I162" s="39"/>
    </row>
    <row r="163">
      <c r="F163" s="5"/>
      <c r="G163" s="39"/>
      <c r="H163" s="15"/>
      <c r="I163" s="39"/>
    </row>
    <row r="164">
      <c r="F164" s="5"/>
      <c r="G164" s="39"/>
      <c r="H164" s="15"/>
      <c r="I164" s="39"/>
    </row>
    <row r="165">
      <c r="F165" s="5"/>
      <c r="G165" s="39"/>
      <c r="H165" s="15"/>
      <c r="I165" s="39"/>
    </row>
    <row r="166">
      <c r="F166" s="5"/>
      <c r="G166" s="39"/>
      <c r="H166" s="15"/>
      <c r="I166" s="39"/>
    </row>
    <row r="167">
      <c r="F167" s="5"/>
      <c r="G167" s="39"/>
      <c r="H167" s="15"/>
      <c r="I167" s="39"/>
    </row>
    <row r="168">
      <c r="F168" s="5"/>
      <c r="G168" s="39"/>
      <c r="H168" s="15"/>
      <c r="I168" s="39"/>
    </row>
    <row r="169">
      <c r="F169" s="5"/>
      <c r="G169" s="39"/>
      <c r="H169" s="15"/>
      <c r="I169" s="39"/>
    </row>
    <row r="170">
      <c r="F170" s="5"/>
      <c r="G170" s="39"/>
      <c r="H170" s="15"/>
      <c r="I170" s="39"/>
    </row>
    <row r="171">
      <c r="F171" s="5"/>
      <c r="G171" s="39"/>
      <c r="H171" s="15"/>
      <c r="I171" s="39"/>
    </row>
    <row r="172">
      <c r="F172" s="5"/>
      <c r="G172" s="39"/>
      <c r="H172" s="15"/>
      <c r="I172" s="39"/>
    </row>
    <row r="173">
      <c r="F173" s="5"/>
      <c r="G173" s="39"/>
      <c r="H173" s="15"/>
      <c r="I173" s="39"/>
    </row>
    <row r="174">
      <c r="F174" s="5"/>
      <c r="G174" s="39"/>
      <c r="H174" s="15"/>
      <c r="I174" s="39"/>
    </row>
    <row r="175">
      <c r="F175" s="5"/>
      <c r="G175" s="39"/>
      <c r="H175" s="15"/>
      <c r="I175" s="39"/>
    </row>
    <row r="176">
      <c r="F176" s="5"/>
      <c r="G176" s="39"/>
      <c r="H176" s="15"/>
      <c r="I176" s="39"/>
    </row>
    <row r="177">
      <c r="F177" s="5"/>
      <c r="G177" s="39"/>
      <c r="H177" s="15"/>
      <c r="I177" s="39"/>
    </row>
    <row r="178">
      <c r="F178" s="5"/>
      <c r="G178" s="39"/>
      <c r="H178" s="15"/>
      <c r="I178" s="39"/>
    </row>
    <row r="179">
      <c r="F179" s="5"/>
      <c r="G179" s="39"/>
      <c r="H179" s="15"/>
      <c r="I179" s="39"/>
    </row>
    <row r="180">
      <c r="F180" s="5"/>
      <c r="G180" s="39"/>
      <c r="H180" s="15"/>
      <c r="I180" s="39"/>
    </row>
    <row r="181">
      <c r="F181" s="5"/>
      <c r="G181" s="39"/>
      <c r="H181" s="15"/>
      <c r="I181" s="39"/>
    </row>
    <row r="182">
      <c r="F182" s="5"/>
      <c r="G182" s="39"/>
      <c r="H182" s="15"/>
      <c r="I182" s="39"/>
    </row>
    <row r="183">
      <c r="F183" s="5"/>
      <c r="G183" s="39"/>
      <c r="H183" s="15"/>
      <c r="I183" s="39"/>
    </row>
    <row r="184">
      <c r="F184" s="5"/>
      <c r="G184" s="39"/>
      <c r="H184" s="15"/>
      <c r="I184" s="39"/>
    </row>
    <row r="185">
      <c r="F185" s="5"/>
      <c r="G185" s="39"/>
      <c r="H185" s="15"/>
      <c r="I185" s="39"/>
    </row>
    <row r="186">
      <c r="F186" s="5"/>
      <c r="G186" s="39"/>
      <c r="H186" s="15"/>
      <c r="I186" s="39"/>
    </row>
    <row r="187">
      <c r="F187" s="5"/>
      <c r="G187" s="39"/>
      <c r="H187" s="15"/>
      <c r="I187" s="39"/>
    </row>
    <row r="188">
      <c r="F188" s="5"/>
      <c r="G188" s="39"/>
      <c r="H188" s="15"/>
      <c r="I188" s="39"/>
    </row>
    <row r="189">
      <c r="F189" s="5"/>
      <c r="G189" s="39"/>
      <c r="H189" s="15"/>
      <c r="I189" s="39"/>
    </row>
    <row r="190">
      <c r="F190" s="5"/>
      <c r="G190" s="39"/>
      <c r="H190" s="15"/>
      <c r="I190" s="39"/>
    </row>
    <row r="191">
      <c r="F191" s="5"/>
      <c r="G191" s="39"/>
      <c r="H191" s="15"/>
      <c r="I191" s="39"/>
    </row>
    <row r="192">
      <c r="F192" s="5"/>
      <c r="G192" s="39"/>
      <c r="H192" s="15"/>
      <c r="I192" s="39"/>
    </row>
    <row r="193">
      <c r="F193" s="5"/>
      <c r="G193" s="39"/>
      <c r="H193" s="15"/>
      <c r="I193" s="39"/>
    </row>
    <row r="194">
      <c r="F194" s="5"/>
      <c r="G194" s="39"/>
      <c r="H194" s="15"/>
      <c r="I194" s="39"/>
    </row>
    <row r="195">
      <c r="F195" s="5"/>
      <c r="G195" s="39"/>
      <c r="H195" s="15"/>
      <c r="I195" s="39"/>
    </row>
    <row r="196">
      <c r="F196" s="5"/>
      <c r="G196" s="39"/>
      <c r="H196" s="15"/>
      <c r="I196" s="39"/>
    </row>
    <row r="197">
      <c r="F197" s="5"/>
      <c r="G197" s="39"/>
      <c r="H197" s="15"/>
      <c r="I197" s="39"/>
    </row>
    <row r="198">
      <c r="F198" s="5"/>
      <c r="G198" s="39"/>
      <c r="H198" s="15"/>
      <c r="I198" s="39"/>
    </row>
    <row r="199">
      <c r="F199" s="5"/>
      <c r="G199" s="39"/>
      <c r="H199" s="15"/>
      <c r="I199" s="39"/>
    </row>
    <row r="200">
      <c r="F200" s="5"/>
      <c r="G200" s="39"/>
      <c r="H200" s="15"/>
      <c r="I200" s="39"/>
    </row>
    <row r="201">
      <c r="F201" s="5"/>
      <c r="G201" s="39"/>
      <c r="H201" s="15"/>
      <c r="I201" s="39"/>
    </row>
    <row r="202">
      <c r="F202" s="5"/>
      <c r="G202" s="39"/>
      <c r="H202" s="15"/>
      <c r="I202" s="39"/>
    </row>
    <row r="203">
      <c r="F203" s="5"/>
      <c r="G203" s="39"/>
      <c r="H203" s="15"/>
      <c r="I203" s="39"/>
    </row>
    <row r="204">
      <c r="F204" s="5"/>
      <c r="G204" s="39"/>
      <c r="H204" s="15"/>
      <c r="I204" s="39"/>
    </row>
    <row r="205">
      <c r="F205" s="5"/>
      <c r="G205" s="39"/>
      <c r="H205" s="15"/>
      <c r="I205" s="39"/>
    </row>
    <row r="206">
      <c r="F206" s="5"/>
      <c r="G206" s="39"/>
      <c r="H206" s="15"/>
      <c r="I206" s="39"/>
    </row>
    <row r="207">
      <c r="F207" s="5"/>
      <c r="G207" s="39"/>
      <c r="H207" s="15"/>
      <c r="I207" s="39"/>
    </row>
    <row r="208">
      <c r="F208" s="5"/>
      <c r="G208" s="39"/>
      <c r="H208" s="15"/>
      <c r="I208" s="39"/>
    </row>
    <row r="209">
      <c r="F209" s="5"/>
      <c r="G209" s="39"/>
      <c r="H209" s="15"/>
      <c r="I209" s="39"/>
    </row>
    <row r="210">
      <c r="F210" s="5"/>
      <c r="G210" s="39"/>
      <c r="H210" s="15"/>
      <c r="I210" s="39"/>
    </row>
    <row r="211">
      <c r="F211" s="5"/>
      <c r="G211" s="39"/>
      <c r="H211" s="15"/>
      <c r="I211" s="39"/>
    </row>
    <row r="212">
      <c r="F212" s="5"/>
      <c r="G212" s="39"/>
      <c r="H212" s="15"/>
      <c r="I212" s="39"/>
    </row>
    <row r="213">
      <c r="F213" s="5"/>
      <c r="G213" s="39"/>
      <c r="H213" s="15"/>
      <c r="I213" s="39"/>
    </row>
    <row r="214">
      <c r="F214" s="5"/>
      <c r="G214" s="39"/>
      <c r="H214" s="15"/>
      <c r="I214" s="39"/>
    </row>
    <row r="215">
      <c r="F215" s="5"/>
      <c r="G215" s="39"/>
      <c r="H215" s="15"/>
      <c r="I215" s="39"/>
    </row>
    <row r="216">
      <c r="F216" s="5"/>
      <c r="G216" s="39"/>
      <c r="H216" s="15"/>
      <c r="I216" s="39"/>
    </row>
    <row r="217">
      <c r="F217" s="5"/>
      <c r="G217" s="39"/>
      <c r="H217" s="15"/>
      <c r="I217" s="39"/>
    </row>
    <row r="218">
      <c r="F218" s="5"/>
      <c r="G218" s="39"/>
      <c r="H218" s="15"/>
      <c r="I218" s="39"/>
    </row>
    <row r="219">
      <c r="F219" s="5"/>
      <c r="G219" s="39"/>
      <c r="H219" s="15"/>
      <c r="I219" s="39"/>
    </row>
    <row r="220">
      <c r="F220" s="5"/>
      <c r="G220" s="39"/>
      <c r="H220" s="15"/>
      <c r="I220" s="39"/>
    </row>
    <row r="221">
      <c r="F221" s="5"/>
      <c r="G221" s="39"/>
      <c r="H221" s="15"/>
      <c r="I221" s="39"/>
    </row>
    <row r="222">
      <c r="F222" s="5"/>
      <c r="G222" s="39"/>
      <c r="H222" s="15"/>
      <c r="I222" s="39"/>
    </row>
    <row r="223">
      <c r="F223" s="5"/>
      <c r="G223" s="39"/>
      <c r="H223" s="15"/>
      <c r="I223" s="39"/>
    </row>
    <row r="224">
      <c r="F224" s="5"/>
      <c r="G224" s="39"/>
      <c r="H224" s="15"/>
      <c r="I224" s="39"/>
    </row>
    <row r="225">
      <c r="F225" s="5"/>
      <c r="G225" s="39"/>
      <c r="H225" s="15"/>
      <c r="I225" s="39"/>
    </row>
    <row r="226">
      <c r="F226" s="5"/>
      <c r="G226" s="39"/>
      <c r="H226" s="15"/>
      <c r="I226" s="39"/>
    </row>
    <row r="227">
      <c r="F227" s="5"/>
      <c r="G227" s="39"/>
      <c r="H227" s="15"/>
      <c r="I227" s="39"/>
    </row>
    <row r="228">
      <c r="F228" s="5"/>
      <c r="G228" s="39"/>
      <c r="H228" s="15"/>
      <c r="I228" s="39"/>
    </row>
    <row r="229">
      <c r="F229" s="5"/>
      <c r="G229" s="39"/>
      <c r="H229" s="15"/>
      <c r="I229" s="39"/>
    </row>
    <row r="230">
      <c r="F230" s="5"/>
      <c r="G230" s="39"/>
      <c r="H230" s="15"/>
      <c r="I230" s="39"/>
    </row>
    <row r="231">
      <c r="F231" s="5"/>
      <c r="G231" s="39"/>
      <c r="H231" s="15"/>
      <c r="I231" s="39"/>
    </row>
    <row r="232">
      <c r="F232" s="5"/>
      <c r="G232" s="39"/>
      <c r="H232" s="15"/>
      <c r="I232" s="39"/>
    </row>
    <row r="233">
      <c r="F233" s="5"/>
      <c r="G233" s="39"/>
      <c r="H233" s="15"/>
      <c r="I233" s="39"/>
    </row>
    <row r="234">
      <c r="F234" s="5"/>
      <c r="G234" s="39"/>
      <c r="H234" s="15"/>
      <c r="I234" s="39"/>
    </row>
    <row r="235">
      <c r="F235" s="5"/>
      <c r="G235" s="39"/>
      <c r="H235" s="15"/>
      <c r="I235" s="39"/>
    </row>
    <row r="236">
      <c r="F236" s="5"/>
      <c r="G236" s="39"/>
      <c r="H236" s="15"/>
      <c r="I236" s="39"/>
    </row>
    <row r="237">
      <c r="F237" s="5"/>
      <c r="G237" s="39"/>
      <c r="H237" s="15"/>
      <c r="I237" s="39"/>
    </row>
    <row r="238">
      <c r="F238" s="5"/>
      <c r="G238" s="39"/>
      <c r="H238" s="15"/>
      <c r="I238" s="39"/>
    </row>
    <row r="239">
      <c r="F239" s="5"/>
      <c r="G239" s="39"/>
      <c r="H239" s="15"/>
      <c r="I239" s="39"/>
    </row>
    <row r="240">
      <c r="F240" s="5"/>
      <c r="G240" s="39"/>
      <c r="H240" s="15"/>
      <c r="I240" s="39"/>
    </row>
    <row r="241">
      <c r="F241" s="5"/>
      <c r="G241" s="39"/>
      <c r="H241" s="15"/>
      <c r="I241" s="39"/>
    </row>
    <row r="242">
      <c r="F242" s="5"/>
      <c r="G242" s="39"/>
      <c r="H242" s="15"/>
      <c r="I242" s="39"/>
    </row>
    <row r="243">
      <c r="F243" s="5"/>
      <c r="G243" s="39"/>
      <c r="H243" s="15"/>
      <c r="I243" s="39"/>
    </row>
    <row r="244">
      <c r="F244" s="5"/>
      <c r="G244" s="39"/>
      <c r="H244" s="15"/>
      <c r="I244" s="39"/>
    </row>
    <row r="245">
      <c r="F245" s="5"/>
      <c r="G245" s="39"/>
      <c r="H245" s="15"/>
      <c r="I245" s="39"/>
    </row>
    <row r="246">
      <c r="F246" s="5"/>
      <c r="G246" s="39"/>
      <c r="H246" s="15"/>
      <c r="I246" s="39"/>
    </row>
    <row r="247">
      <c r="F247" s="5"/>
      <c r="G247" s="39"/>
      <c r="H247" s="15"/>
      <c r="I247" s="39"/>
    </row>
    <row r="248">
      <c r="F248" s="5"/>
      <c r="G248" s="39"/>
      <c r="H248" s="15"/>
      <c r="I248" s="39"/>
    </row>
    <row r="249">
      <c r="F249" s="5"/>
      <c r="G249" s="39"/>
      <c r="H249" s="15"/>
      <c r="I249" s="39"/>
    </row>
    <row r="250">
      <c r="F250" s="5"/>
      <c r="G250" s="39"/>
      <c r="H250" s="15"/>
      <c r="I250" s="39"/>
    </row>
    <row r="251">
      <c r="F251" s="5"/>
      <c r="G251" s="39"/>
      <c r="H251" s="15"/>
      <c r="I251" s="39"/>
    </row>
    <row r="252">
      <c r="F252" s="5"/>
      <c r="G252" s="39"/>
      <c r="H252" s="15"/>
      <c r="I252" s="39"/>
    </row>
    <row r="253">
      <c r="F253" s="5"/>
      <c r="G253" s="39"/>
      <c r="H253" s="15"/>
      <c r="I253" s="39"/>
    </row>
    <row r="254">
      <c r="F254" s="5"/>
      <c r="G254" s="39"/>
      <c r="H254" s="15"/>
      <c r="I254" s="39"/>
    </row>
    <row r="255">
      <c r="F255" s="5"/>
      <c r="G255" s="39"/>
      <c r="H255" s="15"/>
      <c r="I255" s="39"/>
    </row>
    <row r="256">
      <c r="F256" s="5"/>
      <c r="G256" s="39"/>
      <c r="H256" s="15"/>
      <c r="I256" s="39"/>
    </row>
    <row r="257">
      <c r="F257" s="5"/>
      <c r="G257" s="39"/>
      <c r="H257" s="15"/>
      <c r="I257" s="39"/>
    </row>
    <row r="258">
      <c r="F258" s="5"/>
      <c r="G258" s="39"/>
      <c r="H258" s="15"/>
      <c r="I258" s="39"/>
    </row>
    <row r="259">
      <c r="F259" s="5"/>
      <c r="G259" s="39"/>
      <c r="H259" s="15"/>
      <c r="I259" s="39"/>
    </row>
    <row r="260">
      <c r="F260" s="5"/>
      <c r="G260" s="39"/>
      <c r="H260" s="15"/>
      <c r="I260" s="39"/>
    </row>
    <row r="261">
      <c r="F261" s="5"/>
      <c r="G261" s="39"/>
      <c r="H261" s="15"/>
      <c r="I261" s="39"/>
    </row>
    <row r="262">
      <c r="F262" s="5"/>
      <c r="G262" s="39"/>
      <c r="H262" s="15"/>
      <c r="I262" s="39"/>
    </row>
    <row r="263">
      <c r="F263" s="5"/>
      <c r="G263" s="39"/>
      <c r="H263" s="15"/>
      <c r="I263" s="39"/>
    </row>
    <row r="264">
      <c r="F264" s="5"/>
      <c r="G264" s="39"/>
      <c r="H264" s="15"/>
      <c r="I264" s="39"/>
    </row>
    <row r="265">
      <c r="F265" s="5"/>
      <c r="G265" s="39"/>
      <c r="H265" s="15"/>
      <c r="I265" s="39"/>
    </row>
    <row r="266">
      <c r="F266" s="5"/>
      <c r="G266" s="39"/>
      <c r="H266" s="15"/>
      <c r="I266" s="39"/>
    </row>
    <row r="267">
      <c r="F267" s="5"/>
      <c r="G267" s="39"/>
      <c r="H267" s="15"/>
      <c r="I267" s="39"/>
    </row>
    <row r="268">
      <c r="F268" s="5"/>
      <c r="G268" s="39"/>
      <c r="H268" s="15"/>
      <c r="I268" s="39"/>
    </row>
    <row r="269">
      <c r="F269" s="5"/>
      <c r="G269" s="39"/>
      <c r="H269" s="15"/>
      <c r="I269" s="39"/>
    </row>
    <row r="270">
      <c r="F270" s="5"/>
      <c r="G270" s="39"/>
      <c r="H270" s="15"/>
      <c r="I270" s="39"/>
    </row>
    <row r="271">
      <c r="F271" s="5"/>
      <c r="G271" s="39"/>
      <c r="H271" s="15"/>
      <c r="I271" s="39"/>
    </row>
    <row r="272">
      <c r="F272" s="5"/>
      <c r="G272" s="39"/>
      <c r="H272" s="15"/>
      <c r="I272" s="39"/>
    </row>
    <row r="273">
      <c r="F273" s="5"/>
      <c r="G273" s="39"/>
      <c r="H273" s="15"/>
      <c r="I273" s="39"/>
    </row>
    <row r="274">
      <c r="F274" s="5"/>
      <c r="G274" s="39"/>
      <c r="H274" s="15"/>
      <c r="I274" s="39"/>
    </row>
    <row r="275">
      <c r="F275" s="5"/>
      <c r="G275" s="39"/>
      <c r="H275" s="15"/>
      <c r="I275" s="39"/>
    </row>
    <row r="276">
      <c r="F276" s="5"/>
      <c r="G276" s="39"/>
      <c r="H276" s="15"/>
      <c r="I276" s="39"/>
    </row>
    <row r="277">
      <c r="F277" s="5"/>
      <c r="G277" s="39"/>
      <c r="H277" s="15"/>
      <c r="I277" s="39"/>
    </row>
    <row r="278">
      <c r="F278" s="5"/>
      <c r="G278" s="39"/>
      <c r="H278" s="15"/>
      <c r="I278" s="39"/>
    </row>
    <row r="279">
      <c r="F279" s="5"/>
      <c r="G279" s="39"/>
      <c r="H279" s="15"/>
      <c r="I279" s="39"/>
    </row>
    <row r="280">
      <c r="F280" s="5"/>
      <c r="G280" s="39"/>
      <c r="H280" s="15"/>
      <c r="I280" s="39"/>
    </row>
    <row r="281">
      <c r="F281" s="5"/>
      <c r="G281" s="39"/>
      <c r="H281" s="15"/>
      <c r="I281" s="39"/>
    </row>
    <row r="282">
      <c r="F282" s="5"/>
      <c r="G282" s="39"/>
      <c r="H282" s="15"/>
      <c r="I282" s="39"/>
    </row>
    <row r="283">
      <c r="F283" s="5"/>
      <c r="G283" s="39"/>
      <c r="H283" s="15"/>
      <c r="I283" s="39"/>
    </row>
    <row r="284">
      <c r="F284" s="5"/>
      <c r="G284" s="39"/>
      <c r="H284" s="15"/>
      <c r="I284" s="39"/>
    </row>
    <row r="285">
      <c r="F285" s="5"/>
      <c r="G285" s="39"/>
      <c r="H285" s="15"/>
      <c r="I285" s="39"/>
    </row>
    <row r="286">
      <c r="F286" s="5"/>
      <c r="G286" s="39"/>
      <c r="H286" s="15"/>
      <c r="I286" s="39"/>
    </row>
    <row r="287">
      <c r="F287" s="5"/>
      <c r="G287" s="39"/>
      <c r="H287" s="15"/>
      <c r="I287" s="39"/>
    </row>
    <row r="288">
      <c r="F288" s="5"/>
      <c r="G288" s="39"/>
      <c r="H288" s="15"/>
      <c r="I288" s="39"/>
    </row>
    <row r="289">
      <c r="F289" s="5"/>
      <c r="G289" s="39"/>
      <c r="H289" s="15"/>
      <c r="I289" s="39"/>
    </row>
    <row r="290">
      <c r="F290" s="5"/>
      <c r="G290" s="39"/>
      <c r="H290" s="15"/>
      <c r="I290" s="39"/>
    </row>
    <row r="291">
      <c r="F291" s="5"/>
      <c r="G291" s="39"/>
      <c r="H291" s="15"/>
      <c r="I291" s="39"/>
    </row>
    <row r="292">
      <c r="F292" s="5"/>
      <c r="G292" s="39"/>
      <c r="H292" s="15"/>
      <c r="I292" s="39"/>
    </row>
    <row r="293">
      <c r="F293" s="5"/>
      <c r="G293" s="39"/>
      <c r="H293" s="15"/>
      <c r="I293" s="39"/>
    </row>
    <row r="294">
      <c r="F294" s="5"/>
      <c r="G294" s="39"/>
      <c r="H294" s="15"/>
      <c r="I294" s="39"/>
    </row>
    <row r="295">
      <c r="F295" s="5"/>
      <c r="G295" s="39"/>
      <c r="H295" s="15"/>
      <c r="I295" s="39"/>
    </row>
    <row r="296">
      <c r="F296" s="5"/>
      <c r="G296" s="39"/>
      <c r="H296" s="15"/>
      <c r="I296" s="39"/>
    </row>
    <row r="297">
      <c r="F297" s="5"/>
      <c r="G297" s="39"/>
      <c r="H297" s="15"/>
      <c r="I297" s="39"/>
    </row>
    <row r="298">
      <c r="F298" s="5"/>
      <c r="G298" s="39"/>
      <c r="H298" s="15"/>
      <c r="I298" s="39"/>
    </row>
    <row r="299">
      <c r="F299" s="5"/>
      <c r="G299" s="39"/>
      <c r="H299" s="15"/>
      <c r="I299" s="39"/>
    </row>
    <row r="300">
      <c r="F300" s="5"/>
      <c r="G300" s="39"/>
      <c r="H300" s="15"/>
      <c r="I300" s="39"/>
    </row>
    <row r="301">
      <c r="F301" s="5"/>
      <c r="G301" s="39"/>
      <c r="H301" s="15"/>
      <c r="I301" s="39"/>
    </row>
    <row r="302">
      <c r="F302" s="5"/>
      <c r="G302" s="39"/>
      <c r="H302" s="15"/>
      <c r="I302" s="39"/>
    </row>
    <row r="303">
      <c r="F303" s="5"/>
      <c r="G303" s="39"/>
      <c r="H303" s="15"/>
      <c r="I303" s="39"/>
    </row>
    <row r="304">
      <c r="F304" s="5"/>
      <c r="G304" s="39"/>
      <c r="H304" s="15"/>
      <c r="I304" s="39"/>
    </row>
    <row r="305">
      <c r="F305" s="5"/>
      <c r="G305" s="39"/>
      <c r="H305" s="15"/>
      <c r="I305" s="39"/>
    </row>
    <row r="306">
      <c r="F306" s="5"/>
      <c r="G306" s="39"/>
      <c r="H306" s="15"/>
      <c r="I306" s="39"/>
    </row>
    <row r="307">
      <c r="F307" s="5"/>
      <c r="G307" s="39"/>
      <c r="H307" s="15"/>
      <c r="I307" s="39"/>
    </row>
    <row r="308">
      <c r="F308" s="5"/>
      <c r="G308" s="39"/>
      <c r="H308" s="15"/>
      <c r="I308" s="39"/>
    </row>
    <row r="309">
      <c r="F309" s="5"/>
      <c r="G309" s="39"/>
      <c r="H309" s="15"/>
      <c r="I309" s="39"/>
    </row>
    <row r="310">
      <c r="F310" s="5"/>
      <c r="G310" s="39"/>
      <c r="H310" s="15"/>
      <c r="I310" s="39"/>
    </row>
    <row r="311">
      <c r="F311" s="5"/>
      <c r="G311" s="39"/>
      <c r="H311" s="15"/>
      <c r="I311" s="39"/>
    </row>
    <row r="312">
      <c r="F312" s="5"/>
      <c r="G312" s="39"/>
      <c r="H312" s="15"/>
      <c r="I312" s="39"/>
    </row>
    <row r="313">
      <c r="F313" s="5"/>
      <c r="G313" s="39"/>
      <c r="H313" s="15"/>
      <c r="I313" s="39"/>
    </row>
    <row r="314">
      <c r="F314" s="5"/>
      <c r="G314" s="39"/>
      <c r="H314" s="15"/>
      <c r="I314" s="39"/>
    </row>
    <row r="315">
      <c r="F315" s="5"/>
      <c r="G315" s="39"/>
      <c r="H315" s="15"/>
      <c r="I315" s="39"/>
    </row>
    <row r="316">
      <c r="F316" s="5"/>
      <c r="G316" s="39"/>
      <c r="H316" s="15"/>
      <c r="I316" s="39"/>
    </row>
    <row r="317">
      <c r="F317" s="5"/>
      <c r="G317" s="39"/>
      <c r="H317" s="15"/>
      <c r="I317" s="39"/>
    </row>
    <row r="318">
      <c r="F318" s="5"/>
      <c r="G318" s="39"/>
      <c r="H318" s="15"/>
      <c r="I318" s="39"/>
    </row>
    <row r="319">
      <c r="F319" s="5"/>
      <c r="G319" s="39"/>
      <c r="H319" s="15"/>
      <c r="I319" s="39"/>
    </row>
    <row r="320">
      <c r="F320" s="5"/>
      <c r="G320" s="39"/>
      <c r="H320" s="15"/>
      <c r="I320" s="39"/>
    </row>
    <row r="321">
      <c r="F321" s="5"/>
      <c r="G321" s="39"/>
      <c r="H321" s="15"/>
      <c r="I321" s="39"/>
    </row>
    <row r="322">
      <c r="F322" s="5"/>
      <c r="G322" s="39"/>
      <c r="H322" s="15"/>
      <c r="I322" s="39"/>
    </row>
    <row r="323">
      <c r="F323" s="5"/>
      <c r="G323" s="39"/>
      <c r="H323" s="15"/>
      <c r="I323" s="39"/>
    </row>
    <row r="324">
      <c r="F324" s="5"/>
      <c r="G324" s="39"/>
      <c r="H324" s="15"/>
      <c r="I324" s="39"/>
    </row>
    <row r="325">
      <c r="F325" s="5"/>
      <c r="G325" s="39"/>
      <c r="H325" s="15"/>
      <c r="I325" s="39"/>
    </row>
    <row r="326">
      <c r="F326" s="5"/>
      <c r="G326" s="39"/>
      <c r="H326" s="15"/>
      <c r="I326" s="39"/>
    </row>
    <row r="327">
      <c r="F327" s="5"/>
      <c r="G327" s="39"/>
      <c r="H327" s="15"/>
      <c r="I327" s="39"/>
    </row>
    <row r="328">
      <c r="F328" s="5"/>
      <c r="G328" s="39"/>
      <c r="H328" s="15"/>
      <c r="I328" s="39"/>
    </row>
    <row r="329">
      <c r="F329" s="5"/>
      <c r="G329" s="39"/>
      <c r="H329" s="15"/>
      <c r="I329" s="39"/>
    </row>
    <row r="330">
      <c r="F330" s="5"/>
      <c r="G330" s="39"/>
      <c r="H330" s="15"/>
      <c r="I330" s="39"/>
    </row>
    <row r="331">
      <c r="F331" s="5"/>
      <c r="G331" s="39"/>
      <c r="H331" s="15"/>
      <c r="I331" s="39"/>
    </row>
    <row r="332">
      <c r="F332" s="5"/>
      <c r="G332" s="39"/>
      <c r="H332" s="15"/>
      <c r="I332" s="39"/>
    </row>
    <row r="333">
      <c r="F333" s="5"/>
      <c r="G333" s="39"/>
      <c r="H333" s="15"/>
      <c r="I333" s="39"/>
    </row>
    <row r="334">
      <c r="F334" s="5"/>
      <c r="G334" s="39"/>
      <c r="H334" s="15"/>
      <c r="I334" s="39"/>
    </row>
    <row r="335">
      <c r="F335" s="5"/>
      <c r="G335" s="39"/>
      <c r="H335" s="15"/>
      <c r="I335" s="39"/>
    </row>
    <row r="336">
      <c r="F336" s="5"/>
      <c r="G336" s="39"/>
      <c r="H336" s="15"/>
      <c r="I336" s="39"/>
    </row>
    <row r="337">
      <c r="F337" s="5"/>
      <c r="G337" s="39"/>
      <c r="H337" s="15"/>
      <c r="I337" s="39"/>
    </row>
    <row r="338">
      <c r="F338" s="5"/>
      <c r="G338" s="39"/>
      <c r="H338" s="15"/>
      <c r="I338" s="39"/>
    </row>
    <row r="339">
      <c r="F339" s="5"/>
      <c r="G339" s="39"/>
      <c r="H339" s="15"/>
      <c r="I339" s="39"/>
    </row>
    <row r="340">
      <c r="F340" s="5"/>
      <c r="G340" s="39"/>
      <c r="H340" s="15"/>
      <c r="I340" s="39"/>
    </row>
    <row r="341">
      <c r="F341" s="5"/>
      <c r="G341" s="39"/>
      <c r="H341" s="15"/>
      <c r="I341" s="39"/>
    </row>
    <row r="342">
      <c r="F342" s="5"/>
      <c r="G342" s="39"/>
      <c r="H342" s="15"/>
      <c r="I342" s="39"/>
    </row>
    <row r="343">
      <c r="F343" s="5"/>
      <c r="G343" s="39"/>
      <c r="H343" s="15"/>
      <c r="I343" s="39"/>
    </row>
    <row r="344">
      <c r="F344" s="5"/>
      <c r="G344" s="39"/>
      <c r="H344" s="15"/>
      <c r="I344" s="39"/>
    </row>
    <row r="345">
      <c r="F345" s="5"/>
      <c r="G345" s="39"/>
      <c r="H345" s="15"/>
      <c r="I345" s="39"/>
    </row>
    <row r="346">
      <c r="F346" s="5"/>
      <c r="G346" s="39"/>
      <c r="H346" s="15"/>
      <c r="I346" s="39"/>
    </row>
    <row r="347">
      <c r="F347" s="5"/>
      <c r="G347" s="39"/>
      <c r="H347" s="15"/>
      <c r="I347" s="39"/>
    </row>
    <row r="348">
      <c r="F348" s="5"/>
      <c r="G348" s="39"/>
      <c r="H348" s="15"/>
      <c r="I348" s="39"/>
    </row>
    <row r="349">
      <c r="F349" s="5"/>
      <c r="G349" s="39"/>
      <c r="H349" s="15"/>
      <c r="I349" s="39"/>
    </row>
    <row r="350">
      <c r="F350" s="5"/>
      <c r="G350" s="39"/>
      <c r="H350" s="15"/>
      <c r="I350" s="39"/>
    </row>
    <row r="351">
      <c r="F351" s="5"/>
      <c r="G351" s="39"/>
      <c r="H351" s="15"/>
      <c r="I351" s="39"/>
    </row>
    <row r="352">
      <c r="F352" s="5"/>
      <c r="G352" s="39"/>
      <c r="H352" s="15"/>
      <c r="I352" s="39"/>
    </row>
    <row r="353">
      <c r="F353" s="5"/>
      <c r="G353" s="39"/>
      <c r="H353" s="15"/>
      <c r="I353" s="39"/>
    </row>
    <row r="354">
      <c r="F354" s="5"/>
      <c r="G354" s="39"/>
      <c r="H354" s="15"/>
      <c r="I354" s="39"/>
    </row>
    <row r="355">
      <c r="F355" s="5"/>
      <c r="G355" s="39"/>
      <c r="H355" s="15"/>
      <c r="I355" s="39"/>
    </row>
    <row r="356">
      <c r="F356" s="5"/>
      <c r="G356" s="39"/>
      <c r="H356" s="15"/>
      <c r="I356" s="39"/>
    </row>
    <row r="357">
      <c r="F357" s="5"/>
      <c r="G357" s="39"/>
      <c r="H357" s="15"/>
      <c r="I357" s="39"/>
    </row>
    <row r="358">
      <c r="F358" s="5"/>
      <c r="G358" s="39"/>
      <c r="H358" s="15"/>
      <c r="I358" s="39"/>
    </row>
    <row r="359">
      <c r="F359" s="5"/>
      <c r="G359" s="39"/>
      <c r="H359" s="15"/>
      <c r="I359" s="39"/>
    </row>
    <row r="360">
      <c r="F360" s="5"/>
      <c r="G360" s="39"/>
      <c r="H360" s="15"/>
      <c r="I360" s="39"/>
    </row>
    <row r="361">
      <c r="F361" s="5"/>
      <c r="G361" s="39"/>
      <c r="H361" s="15"/>
      <c r="I361" s="39"/>
    </row>
    <row r="362">
      <c r="F362" s="5"/>
      <c r="G362" s="39"/>
      <c r="H362" s="15"/>
      <c r="I362" s="39"/>
    </row>
    <row r="363">
      <c r="F363" s="5"/>
      <c r="G363" s="39"/>
      <c r="H363" s="15"/>
      <c r="I363" s="39"/>
    </row>
    <row r="364">
      <c r="F364" s="5"/>
      <c r="G364" s="39"/>
      <c r="H364" s="15"/>
      <c r="I364" s="39"/>
    </row>
    <row r="365">
      <c r="F365" s="5"/>
      <c r="G365" s="39"/>
      <c r="H365" s="15"/>
      <c r="I365" s="39"/>
    </row>
    <row r="366">
      <c r="F366" s="5"/>
      <c r="G366" s="39"/>
      <c r="H366" s="15"/>
      <c r="I366" s="39"/>
    </row>
    <row r="367">
      <c r="F367" s="5"/>
      <c r="G367" s="39"/>
      <c r="H367" s="15"/>
      <c r="I367" s="39"/>
    </row>
    <row r="368">
      <c r="F368" s="5"/>
      <c r="G368" s="39"/>
      <c r="H368" s="15"/>
      <c r="I368" s="39"/>
    </row>
    <row r="369">
      <c r="F369" s="5"/>
      <c r="G369" s="39"/>
      <c r="H369" s="15"/>
      <c r="I369" s="39"/>
    </row>
    <row r="370">
      <c r="F370" s="5"/>
      <c r="G370" s="39"/>
      <c r="H370" s="15"/>
      <c r="I370" s="39"/>
    </row>
    <row r="371">
      <c r="F371" s="5"/>
      <c r="G371" s="39"/>
      <c r="H371" s="15"/>
      <c r="I371" s="39"/>
    </row>
    <row r="372">
      <c r="F372" s="5"/>
      <c r="G372" s="39"/>
      <c r="H372" s="15"/>
      <c r="I372" s="39"/>
    </row>
    <row r="373">
      <c r="F373" s="5"/>
      <c r="G373" s="39"/>
      <c r="H373" s="15"/>
      <c r="I373" s="39"/>
    </row>
    <row r="374">
      <c r="F374" s="5"/>
      <c r="G374" s="39"/>
      <c r="H374" s="15"/>
      <c r="I374" s="39"/>
    </row>
    <row r="375">
      <c r="F375" s="5"/>
      <c r="G375" s="39"/>
      <c r="H375" s="15"/>
      <c r="I375" s="39"/>
    </row>
    <row r="376">
      <c r="F376" s="5"/>
      <c r="G376" s="39"/>
      <c r="H376" s="15"/>
      <c r="I376" s="39"/>
    </row>
    <row r="377">
      <c r="F377" s="5"/>
      <c r="G377" s="39"/>
      <c r="H377" s="15"/>
      <c r="I377" s="39"/>
    </row>
    <row r="378">
      <c r="F378" s="5"/>
      <c r="G378" s="39"/>
      <c r="H378" s="15"/>
      <c r="I378" s="39"/>
    </row>
    <row r="379">
      <c r="F379" s="5"/>
      <c r="G379" s="39"/>
      <c r="H379" s="15"/>
      <c r="I379" s="39"/>
    </row>
    <row r="380">
      <c r="F380" s="5"/>
      <c r="G380" s="39"/>
      <c r="H380" s="15"/>
      <c r="I380" s="39"/>
    </row>
    <row r="381">
      <c r="F381" s="5"/>
      <c r="G381" s="39"/>
      <c r="H381" s="15"/>
      <c r="I381" s="39"/>
    </row>
    <row r="382">
      <c r="F382" s="5"/>
      <c r="G382" s="39"/>
      <c r="H382" s="15"/>
      <c r="I382" s="39"/>
    </row>
    <row r="383">
      <c r="F383" s="5"/>
      <c r="G383" s="39"/>
      <c r="H383" s="15"/>
      <c r="I383" s="39"/>
    </row>
    <row r="384">
      <c r="F384" s="5"/>
      <c r="G384" s="39"/>
      <c r="H384" s="15"/>
      <c r="I384" s="39"/>
    </row>
    <row r="385">
      <c r="F385" s="5"/>
      <c r="G385" s="39"/>
      <c r="H385" s="15"/>
      <c r="I385" s="39"/>
    </row>
    <row r="386">
      <c r="F386" s="5"/>
      <c r="G386" s="39"/>
      <c r="H386" s="15"/>
      <c r="I386" s="39"/>
    </row>
    <row r="387">
      <c r="F387" s="5"/>
      <c r="G387" s="39"/>
      <c r="H387" s="15"/>
      <c r="I387" s="39"/>
    </row>
    <row r="388">
      <c r="F388" s="5"/>
      <c r="G388" s="39"/>
      <c r="H388" s="15"/>
      <c r="I388" s="39"/>
    </row>
    <row r="389">
      <c r="F389" s="5"/>
      <c r="G389" s="39"/>
      <c r="H389" s="15"/>
      <c r="I389" s="39"/>
    </row>
    <row r="390">
      <c r="F390" s="5"/>
      <c r="G390" s="39"/>
      <c r="H390" s="15"/>
      <c r="I390" s="39"/>
    </row>
    <row r="391">
      <c r="F391" s="5"/>
      <c r="G391" s="39"/>
      <c r="H391" s="15"/>
      <c r="I391" s="39"/>
    </row>
    <row r="392">
      <c r="F392" s="5"/>
      <c r="G392" s="39"/>
      <c r="H392" s="15"/>
      <c r="I392" s="39"/>
    </row>
    <row r="393">
      <c r="F393" s="5"/>
      <c r="G393" s="39"/>
      <c r="H393" s="15"/>
      <c r="I393" s="39"/>
    </row>
    <row r="394">
      <c r="F394" s="5"/>
      <c r="G394" s="39"/>
      <c r="H394" s="15"/>
      <c r="I394" s="39"/>
    </row>
    <row r="395">
      <c r="F395" s="5"/>
      <c r="G395" s="39"/>
      <c r="H395" s="15"/>
      <c r="I395" s="39"/>
    </row>
    <row r="396">
      <c r="F396" s="5"/>
      <c r="G396" s="39"/>
      <c r="H396" s="15"/>
      <c r="I396" s="39"/>
    </row>
    <row r="397">
      <c r="F397" s="5"/>
      <c r="G397" s="39"/>
      <c r="H397" s="15"/>
      <c r="I397" s="39"/>
    </row>
    <row r="398">
      <c r="F398" s="5"/>
      <c r="G398" s="39"/>
      <c r="H398" s="15"/>
      <c r="I398" s="39"/>
    </row>
    <row r="399">
      <c r="F399" s="5"/>
      <c r="G399" s="39"/>
      <c r="H399" s="15"/>
      <c r="I399" s="39"/>
    </row>
    <row r="400">
      <c r="F400" s="5"/>
      <c r="G400" s="39"/>
      <c r="H400" s="15"/>
      <c r="I400" s="39"/>
    </row>
    <row r="401">
      <c r="F401" s="5"/>
      <c r="G401" s="39"/>
      <c r="H401" s="15"/>
      <c r="I401" s="39"/>
    </row>
    <row r="402">
      <c r="F402" s="5"/>
      <c r="G402" s="39"/>
      <c r="H402" s="15"/>
      <c r="I402" s="39"/>
    </row>
    <row r="403">
      <c r="F403" s="5"/>
      <c r="G403" s="39"/>
      <c r="H403" s="15"/>
      <c r="I403" s="39"/>
    </row>
    <row r="404">
      <c r="F404" s="5"/>
      <c r="G404" s="39"/>
      <c r="H404" s="15"/>
      <c r="I404" s="39"/>
    </row>
    <row r="405">
      <c r="F405" s="5"/>
      <c r="G405" s="39"/>
      <c r="H405" s="15"/>
      <c r="I405" s="39"/>
    </row>
    <row r="406">
      <c r="F406" s="5"/>
      <c r="G406" s="39"/>
      <c r="H406" s="15"/>
      <c r="I406" s="39"/>
    </row>
    <row r="407">
      <c r="F407" s="5"/>
      <c r="G407" s="39"/>
      <c r="H407" s="15"/>
      <c r="I407" s="39"/>
    </row>
    <row r="408">
      <c r="F408" s="5"/>
      <c r="G408" s="39"/>
      <c r="H408" s="15"/>
      <c r="I408" s="39"/>
    </row>
    <row r="409">
      <c r="F409" s="5"/>
      <c r="G409" s="39"/>
      <c r="H409" s="15"/>
      <c r="I409" s="39"/>
    </row>
    <row r="410">
      <c r="F410" s="5"/>
      <c r="G410" s="39"/>
      <c r="H410" s="15"/>
      <c r="I410" s="39"/>
    </row>
    <row r="411">
      <c r="F411" s="5"/>
      <c r="G411" s="39"/>
      <c r="H411" s="15"/>
      <c r="I411" s="39"/>
    </row>
    <row r="412">
      <c r="F412" s="5"/>
      <c r="G412" s="39"/>
      <c r="H412" s="15"/>
      <c r="I412" s="39"/>
    </row>
    <row r="413">
      <c r="F413" s="5"/>
      <c r="G413" s="39"/>
      <c r="H413" s="15"/>
      <c r="I413" s="39"/>
    </row>
    <row r="414">
      <c r="F414" s="5"/>
      <c r="G414" s="39"/>
      <c r="H414" s="15"/>
      <c r="I414" s="39"/>
    </row>
    <row r="415">
      <c r="F415" s="5"/>
      <c r="G415" s="39"/>
      <c r="H415" s="15"/>
      <c r="I415" s="39"/>
    </row>
    <row r="416">
      <c r="F416" s="5"/>
      <c r="G416" s="39"/>
      <c r="H416" s="15"/>
      <c r="I416" s="39"/>
    </row>
    <row r="417">
      <c r="F417" s="5"/>
      <c r="G417" s="39"/>
      <c r="H417" s="15"/>
      <c r="I417" s="39"/>
    </row>
    <row r="418">
      <c r="F418" s="5"/>
      <c r="G418" s="39"/>
      <c r="H418" s="15"/>
      <c r="I418" s="39"/>
    </row>
    <row r="419">
      <c r="F419" s="5"/>
      <c r="G419" s="39"/>
      <c r="H419" s="15"/>
      <c r="I419" s="39"/>
    </row>
    <row r="420">
      <c r="F420" s="5"/>
      <c r="G420" s="39"/>
      <c r="H420" s="15"/>
      <c r="I420" s="39"/>
    </row>
    <row r="421">
      <c r="F421" s="5"/>
      <c r="G421" s="39"/>
      <c r="H421" s="15"/>
      <c r="I421" s="39"/>
    </row>
    <row r="422">
      <c r="F422" s="5"/>
      <c r="G422" s="39"/>
      <c r="H422" s="15"/>
      <c r="I422" s="39"/>
    </row>
    <row r="423">
      <c r="F423" s="5"/>
      <c r="G423" s="39"/>
      <c r="H423" s="15"/>
      <c r="I423" s="39"/>
    </row>
    <row r="424">
      <c r="F424" s="5"/>
      <c r="G424" s="39"/>
      <c r="H424" s="15"/>
      <c r="I424" s="39"/>
    </row>
    <row r="425">
      <c r="F425" s="5"/>
      <c r="G425" s="39"/>
      <c r="H425" s="15"/>
      <c r="I425" s="39"/>
    </row>
    <row r="426">
      <c r="F426" s="5"/>
      <c r="G426" s="39"/>
      <c r="H426" s="15"/>
      <c r="I426" s="39"/>
    </row>
    <row r="427">
      <c r="F427" s="5"/>
      <c r="G427" s="39"/>
      <c r="H427" s="15"/>
      <c r="I427" s="39"/>
    </row>
    <row r="428">
      <c r="F428" s="5"/>
      <c r="G428" s="39"/>
      <c r="H428" s="15"/>
      <c r="I428" s="39"/>
    </row>
    <row r="429">
      <c r="F429" s="5"/>
      <c r="G429" s="39"/>
      <c r="H429" s="15"/>
      <c r="I429" s="39"/>
    </row>
    <row r="430">
      <c r="F430" s="5"/>
      <c r="G430" s="39"/>
      <c r="H430" s="15"/>
      <c r="I430" s="39"/>
    </row>
    <row r="431">
      <c r="F431" s="5"/>
      <c r="G431" s="39"/>
      <c r="H431" s="15"/>
      <c r="I431" s="39"/>
    </row>
    <row r="432">
      <c r="F432" s="5"/>
      <c r="G432" s="39"/>
      <c r="H432" s="15"/>
      <c r="I432" s="39"/>
    </row>
    <row r="433">
      <c r="F433" s="5"/>
      <c r="G433" s="39"/>
      <c r="H433" s="15"/>
      <c r="I433" s="39"/>
    </row>
    <row r="434">
      <c r="F434" s="5"/>
      <c r="G434" s="39"/>
      <c r="H434" s="15"/>
      <c r="I434" s="39"/>
    </row>
    <row r="435">
      <c r="F435" s="5"/>
      <c r="G435" s="39"/>
      <c r="H435" s="15"/>
      <c r="I435" s="39"/>
    </row>
    <row r="436">
      <c r="F436" s="5"/>
      <c r="G436" s="39"/>
      <c r="H436" s="15"/>
      <c r="I436" s="39"/>
    </row>
    <row r="437">
      <c r="F437" s="5"/>
      <c r="G437" s="39"/>
      <c r="H437" s="15"/>
      <c r="I437" s="39"/>
    </row>
    <row r="438">
      <c r="F438" s="5"/>
      <c r="G438" s="39"/>
      <c r="H438" s="15"/>
      <c r="I438" s="39"/>
    </row>
    <row r="439">
      <c r="F439" s="5"/>
      <c r="G439" s="39"/>
      <c r="H439" s="15"/>
      <c r="I439" s="39"/>
    </row>
    <row r="440">
      <c r="F440" s="5"/>
      <c r="G440" s="39"/>
      <c r="H440" s="15"/>
      <c r="I440" s="39"/>
    </row>
    <row r="441">
      <c r="F441" s="5"/>
      <c r="G441" s="39"/>
      <c r="H441" s="15"/>
      <c r="I441" s="39"/>
    </row>
    <row r="442">
      <c r="F442" s="5"/>
      <c r="G442" s="39"/>
      <c r="H442" s="15"/>
      <c r="I442" s="39"/>
    </row>
    <row r="443">
      <c r="F443" s="5"/>
      <c r="G443" s="39"/>
      <c r="H443" s="15"/>
      <c r="I443" s="39"/>
    </row>
    <row r="444">
      <c r="F444" s="5"/>
      <c r="G444" s="39"/>
      <c r="H444" s="15"/>
      <c r="I444" s="39"/>
    </row>
    <row r="445">
      <c r="F445" s="5"/>
      <c r="G445" s="39"/>
      <c r="H445" s="15"/>
      <c r="I445" s="39"/>
    </row>
    <row r="446">
      <c r="F446" s="5"/>
      <c r="G446" s="39"/>
      <c r="H446" s="15"/>
      <c r="I446" s="39"/>
    </row>
    <row r="447">
      <c r="F447" s="5"/>
      <c r="G447" s="39"/>
      <c r="H447" s="15"/>
      <c r="I447" s="39"/>
    </row>
    <row r="448">
      <c r="F448" s="5"/>
      <c r="G448" s="39"/>
      <c r="H448" s="15"/>
      <c r="I448" s="39"/>
    </row>
    <row r="449">
      <c r="F449" s="5"/>
      <c r="G449" s="39"/>
      <c r="H449" s="15"/>
      <c r="I449" s="39"/>
    </row>
    <row r="450">
      <c r="F450" s="5"/>
      <c r="G450" s="39"/>
      <c r="H450" s="15"/>
      <c r="I450" s="39"/>
    </row>
    <row r="451">
      <c r="F451" s="5"/>
      <c r="G451" s="39"/>
      <c r="H451" s="15"/>
      <c r="I451" s="39"/>
    </row>
    <row r="452">
      <c r="F452" s="5"/>
      <c r="G452" s="39"/>
      <c r="H452" s="15"/>
      <c r="I452" s="39"/>
    </row>
    <row r="453">
      <c r="F453" s="5"/>
      <c r="G453" s="39"/>
      <c r="H453" s="15"/>
      <c r="I453" s="39"/>
    </row>
    <row r="454">
      <c r="F454" s="5"/>
      <c r="G454" s="39"/>
      <c r="H454" s="15"/>
      <c r="I454" s="39"/>
    </row>
    <row r="455">
      <c r="F455" s="5"/>
      <c r="G455" s="39"/>
      <c r="H455" s="15"/>
      <c r="I455" s="39"/>
    </row>
    <row r="456">
      <c r="F456" s="5"/>
      <c r="G456" s="39"/>
      <c r="H456" s="15"/>
      <c r="I456" s="39"/>
    </row>
    <row r="457">
      <c r="F457" s="5"/>
      <c r="G457" s="39"/>
      <c r="H457" s="15"/>
      <c r="I457" s="39"/>
    </row>
    <row r="458">
      <c r="F458" s="5"/>
      <c r="G458" s="39"/>
      <c r="H458" s="15"/>
      <c r="I458" s="39"/>
    </row>
    <row r="459">
      <c r="F459" s="5"/>
      <c r="G459" s="39"/>
      <c r="H459" s="15"/>
      <c r="I459" s="39"/>
    </row>
    <row r="460">
      <c r="F460" s="5"/>
      <c r="G460" s="39"/>
      <c r="H460" s="15"/>
      <c r="I460" s="39"/>
    </row>
    <row r="461">
      <c r="F461" s="5"/>
      <c r="G461" s="39"/>
      <c r="H461" s="15"/>
      <c r="I461" s="39"/>
    </row>
    <row r="462">
      <c r="F462" s="5"/>
      <c r="G462" s="39"/>
      <c r="H462" s="15"/>
      <c r="I462" s="39"/>
    </row>
    <row r="463">
      <c r="F463" s="5"/>
      <c r="G463" s="39"/>
      <c r="H463" s="15"/>
      <c r="I463" s="39"/>
    </row>
    <row r="464">
      <c r="F464" s="5"/>
      <c r="G464" s="39"/>
      <c r="H464" s="15"/>
      <c r="I464" s="39"/>
    </row>
    <row r="465">
      <c r="F465" s="5"/>
      <c r="G465" s="39"/>
      <c r="H465" s="15"/>
      <c r="I465" s="39"/>
    </row>
    <row r="466">
      <c r="F466" s="5"/>
      <c r="G466" s="39"/>
      <c r="H466" s="15"/>
      <c r="I466" s="39"/>
    </row>
    <row r="467">
      <c r="F467" s="5"/>
      <c r="G467" s="39"/>
      <c r="H467" s="15"/>
      <c r="I467" s="39"/>
    </row>
    <row r="468">
      <c r="F468" s="5"/>
      <c r="G468" s="39"/>
      <c r="H468" s="15"/>
      <c r="I468" s="39"/>
    </row>
    <row r="469">
      <c r="F469" s="5"/>
      <c r="G469" s="39"/>
      <c r="H469" s="15"/>
      <c r="I469" s="39"/>
    </row>
    <row r="470">
      <c r="F470" s="5"/>
      <c r="G470" s="39"/>
      <c r="H470" s="15"/>
      <c r="I470" s="39"/>
    </row>
    <row r="471">
      <c r="F471" s="5"/>
      <c r="G471" s="39"/>
      <c r="H471" s="15"/>
      <c r="I471" s="39"/>
    </row>
    <row r="472">
      <c r="F472" s="5"/>
      <c r="G472" s="39"/>
      <c r="H472" s="15"/>
      <c r="I472" s="39"/>
    </row>
    <row r="473">
      <c r="F473" s="5"/>
      <c r="G473" s="39"/>
      <c r="H473" s="15"/>
      <c r="I473" s="39"/>
    </row>
    <row r="474">
      <c r="F474" s="5"/>
      <c r="G474" s="39"/>
      <c r="H474" s="15"/>
      <c r="I474" s="39"/>
    </row>
    <row r="475">
      <c r="F475" s="5"/>
      <c r="G475" s="39"/>
      <c r="H475" s="15"/>
      <c r="I475" s="39"/>
    </row>
    <row r="476">
      <c r="F476" s="5"/>
      <c r="G476" s="39"/>
      <c r="H476" s="15"/>
      <c r="I476" s="39"/>
    </row>
    <row r="477">
      <c r="F477" s="5"/>
      <c r="G477" s="39"/>
      <c r="H477" s="15"/>
      <c r="I477" s="39"/>
    </row>
    <row r="478">
      <c r="F478" s="5"/>
      <c r="G478" s="39"/>
      <c r="H478" s="15"/>
      <c r="I478" s="39"/>
    </row>
    <row r="479">
      <c r="F479" s="5"/>
      <c r="G479" s="39"/>
      <c r="H479" s="15"/>
      <c r="I479" s="39"/>
    </row>
    <row r="480">
      <c r="F480" s="5"/>
      <c r="G480" s="39"/>
      <c r="H480" s="15"/>
      <c r="I480" s="39"/>
    </row>
    <row r="481">
      <c r="F481" s="5"/>
      <c r="G481" s="39"/>
      <c r="H481" s="15"/>
      <c r="I481" s="39"/>
    </row>
    <row r="482">
      <c r="F482" s="5"/>
      <c r="G482" s="39"/>
      <c r="H482" s="15"/>
      <c r="I482" s="39"/>
    </row>
    <row r="483">
      <c r="F483" s="5"/>
      <c r="G483" s="39"/>
      <c r="H483" s="15"/>
      <c r="I483" s="39"/>
    </row>
    <row r="484">
      <c r="F484" s="5"/>
      <c r="G484" s="39"/>
      <c r="H484" s="15"/>
      <c r="I484" s="39"/>
    </row>
    <row r="485">
      <c r="F485" s="5"/>
      <c r="G485" s="39"/>
      <c r="H485" s="15"/>
      <c r="I485" s="39"/>
    </row>
    <row r="486">
      <c r="F486" s="5"/>
      <c r="G486" s="39"/>
      <c r="H486" s="15"/>
      <c r="I486" s="39"/>
    </row>
    <row r="487">
      <c r="F487" s="5"/>
      <c r="G487" s="39"/>
      <c r="H487" s="15"/>
      <c r="I487" s="39"/>
    </row>
    <row r="488">
      <c r="F488" s="5"/>
      <c r="G488" s="39"/>
      <c r="H488" s="15"/>
      <c r="I488" s="39"/>
    </row>
    <row r="489">
      <c r="F489" s="5"/>
      <c r="G489" s="39"/>
      <c r="H489" s="15"/>
      <c r="I489" s="39"/>
    </row>
    <row r="490">
      <c r="F490" s="5"/>
      <c r="G490" s="39"/>
      <c r="H490" s="15"/>
      <c r="I490" s="39"/>
    </row>
    <row r="491">
      <c r="F491" s="5"/>
      <c r="G491" s="39"/>
      <c r="H491" s="15"/>
      <c r="I491" s="39"/>
    </row>
    <row r="492">
      <c r="F492" s="5"/>
      <c r="G492" s="39"/>
      <c r="H492" s="15"/>
      <c r="I492" s="39"/>
    </row>
    <row r="493">
      <c r="F493" s="5"/>
      <c r="G493" s="39"/>
      <c r="H493" s="15"/>
      <c r="I493" s="39"/>
    </row>
    <row r="494">
      <c r="F494" s="5"/>
      <c r="G494" s="39"/>
      <c r="H494" s="15"/>
      <c r="I494" s="39"/>
    </row>
    <row r="495">
      <c r="F495" s="5"/>
      <c r="G495" s="39"/>
      <c r="H495" s="15"/>
      <c r="I495" s="39"/>
    </row>
    <row r="496">
      <c r="F496" s="5"/>
      <c r="G496" s="39"/>
      <c r="H496" s="15"/>
      <c r="I496" s="39"/>
    </row>
    <row r="497">
      <c r="F497" s="5"/>
      <c r="G497" s="39"/>
      <c r="H497" s="15"/>
      <c r="I497" s="39"/>
    </row>
    <row r="498">
      <c r="F498" s="5"/>
      <c r="G498" s="39"/>
      <c r="H498" s="15"/>
      <c r="I498" s="39"/>
    </row>
    <row r="499">
      <c r="F499" s="5"/>
      <c r="G499" s="39"/>
      <c r="H499" s="15"/>
      <c r="I499" s="39"/>
    </row>
    <row r="500">
      <c r="F500" s="5"/>
      <c r="G500" s="39"/>
      <c r="H500" s="15"/>
      <c r="I500" s="39"/>
    </row>
    <row r="501">
      <c r="F501" s="5"/>
      <c r="G501" s="39"/>
      <c r="H501" s="15"/>
      <c r="I501" s="39"/>
    </row>
    <row r="502">
      <c r="F502" s="5"/>
      <c r="G502" s="39"/>
      <c r="H502" s="15"/>
      <c r="I502" s="39"/>
    </row>
    <row r="503">
      <c r="F503" s="5"/>
      <c r="G503" s="39"/>
      <c r="H503" s="15"/>
      <c r="I503" s="39"/>
    </row>
    <row r="504">
      <c r="F504" s="5"/>
      <c r="G504" s="39"/>
      <c r="H504" s="15"/>
      <c r="I504" s="39"/>
    </row>
    <row r="505">
      <c r="F505" s="5"/>
      <c r="G505" s="39"/>
      <c r="H505" s="15"/>
      <c r="I505" s="39"/>
    </row>
    <row r="506">
      <c r="F506" s="5"/>
      <c r="G506" s="39"/>
      <c r="H506" s="15"/>
      <c r="I506" s="39"/>
    </row>
    <row r="507">
      <c r="F507" s="5"/>
      <c r="G507" s="39"/>
      <c r="H507" s="15"/>
      <c r="I507" s="39"/>
    </row>
    <row r="508">
      <c r="F508" s="5"/>
      <c r="G508" s="39"/>
      <c r="H508" s="15"/>
      <c r="I508" s="39"/>
    </row>
    <row r="509">
      <c r="F509" s="5"/>
      <c r="G509" s="39"/>
      <c r="H509" s="15"/>
      <c r="I509" s="39"/>
    </row>
    <row r="510">
      <c r="F510" s="5"/>
      <c r="G510" s="39"/>
      <c r="H510" s="15"/>
      <c r="I510" s="39"/>
    </row>
    <row r="511">
      <c r="F511" s="5"/>
      <c r="G511" s="39"/>
      <c r="H511" s="15"/>
      <c r="I511" s="39"/>
    </row>
    <row r="512">
      <c r="F512" s="5"/>
      <c r="G512" s="39"/>
      <c r="H512" s="15"/>
      <c r="I512" s="39"/>
    </row>
    <row r="513">
      <c r="F513" s="5"/>
      <c r="G513" s="39"/>
      <c r="H513" s="15"/>
      <c r="I513" s="39"/>
    </row>
    <row r="514">
      <c r="F514" s="5"/>
      <c r="G514" s="39"/>
      <c r="H514" s="15"/>
      <c r="I514" s="39"/>
    </row>
    <row r="515">
      <c r="F515" s="5"/>
      <c r="G515" s="39"/>
      <c r="H515" s="15"/>
      <c r="I515" s="39"/>
    </row>
    <row r="516">
      <c r="F516" s="5"/>
      <c r="G516" s="39"/>
      <c r="H516" s="15"/>
      <c r="I516" s="39"/>
    </row>
    <row r="517">
      <c r="F517" s="5"/>
      <c r="G517" s="39"/>
      <c r="H517" s="15"/>
      <c r="I517" s="39"/>
    </row>
    <row r="518">
      <c r="F518" s="5"/>
      <c r="G518" s="39"/>
      <c r="H518" s="15"/>
      <c r="I518" s="39"/>
    </row>
    <row r="519">
      <c r="F519" s="5"/>
      <c r="G519" s="39"/>
      <c r="H519" s="15"/>
      <c r="I519" s="39"/>
    </row>
    <row r="520">
      <c r="F520" s="5"/>
      <c r="G520" s="39"/>
      <c r="H520" s="15"/>
      <c r="I520" s="39"/>
    </row>
    <row r="521">
      <c r="F521" s="5"/>
      <c r="G521" s="39"/>
      <c r="H521" s="15"/>
      <c r="I521" s="39"/>
    </row>
    <row r="522">
      <c r="F522" s="5"/>
      <c r="G522" s="39"/>
      <c r="H522" s="15"/>
      <c r="I522" s="39"/>
    </row>
    <row r="523">
      <c r="F523" s="5"/>
      <c r="G523" s="39"/>
      <c r="H523" s="15"/>
      <c r="I523" s="39"/>
    </row>
    <row r="524">
      <c r="F524" s="5"/>
      <c r="G524" s="39"/>
      <c r="H524" s="15"/>
      <c r="I524" s="39"/>
    </row>
    <row r="525">
      <c r="F525" s="5"/>
      <c r="G525" s="39"/>
      <c r="H525" s="15"/>
      <c r="I525" s="39"/>
    </row>
    <row r="526">
      <c r="F526" s="5"/>
      <c r="G526" s="39"/>
      <c r="H526" s="15"/>
      <c r="I526" s="39"/>
    </row>
    <row r="527">
      <c r="F527" s="5"/>
      <c r="G527" s="39"/>
      <c r="H527" s="15"/>
      <c r="I527" s="39"/>
    </row>
    <row r="528">
      <c r="F528" s="5"/>
      <c r="G528" s="39"/>
      <c r="H528" s="15"/>
      <c r="I528" s="39"/>
    </row>
    <row r="529">
      <c r="F529" s="5"/>
      <c r="G529" s="39"/>
      <c r="H529" s="15"/>
      <c r="I529" s="39"/>
    </row>
    <row r="530">
      <c r="F530" s="5"/>
      <c r="G530" s="39"/>
      <c r="H530" s="15"/>
      <c r="I530" s="39"/>
    </row>
    <row r="531">
      <c r="F531" s="5"/>
      <c r="G531" s="39"/>
      <c r="H531" s="15"/>
      <c r="I531" s="39"/>
    </row>
    <row r="532">
      <c r="F532" s="5"/>
      <c r="G532" s="39"/>
      <c r="H532" s="15"/>
      <c r="I532" s="39"/>
    </row>
    <row r="533">
      <c r="F533" s="5"/>
      <c r="G533" s="39"/>
      <c r="H533" s="15"/>
      <c r="I533" s="39"/>
    </row>
    <row r="534">
      <c r="F534" s="5"/>
      <c r="G534" s="39"/>
      <c r="H534" s="15"/>
      <c r="I534" s="39"/>
    </row>
    <row r="535">
      <c r="F535" s="5"/>
      <c r="G535" s="39"/>
      <c r="H535" s="15"/>
      <c r="I535" s="39"/>
    </row>
    <row r="536">
      <c r="F536" s="5"/>
      <c r="G536" s="39"/>
      <c r="H536" s="15"/>
      <c r="I536" s="39"/>
    </row>
    <row r="537">
      <c r="F537" s="5"/>
      <c r="G537" s="39"/>
      <c r="H537" s="15"/>
      <c r="I537" s="39"/>
    </row>
    <row r="538">
      <c r="F538" s="5"/>
      <c r="G538" s="39"/>
      <c r="H538" s="15"/>
      <c r="I538" s="39"/>
    </row>
    <row r="539">
      <c r="F539" s="5"/>
      <c r="G539" s="39"/>
      <c r="H539" s="15"/>
      <c r="I539" s="39"/>
    </row>
    <row r="540">
      <c r="F540" s="5"/>
      <c r="G540" s="39"/>
      <c r="H540" s="15"/>
      <c r="I540" s="39"/>
    </row>
    <row r="541">
      <c r="F541" s="5"/>
      <c r="G541" s="39"/>
      <c r="H541" s="15"/>
      <c r="I541" s="39"/>
    </row>
    <row r="542">
      <c r="F542" s="5"/>
      <c r="G542" s="39"/>
      <c r="H542" s="15"/>
      <c r="I542" s="39"/>
    </row>
    <row r="543">
      <c r="F543" s="5"/>
      <c r="G543" s="39"/>
      <c r="H543" s="15"/>
      <c r="I543" s="39"/>
    </row>
    <row r="544">
      <c r="F544" s="5"/>
      <c r="G544" s="39"/>
      <c r="H544" s="15"/>
      <c r="I544" s="39"/>
    </row>
    <row r="545">
      <c r="F545" s="5"/>
      <c r="G545" s="39"/>
      <c r="H545" s="15"/>
      <c r="I545" s="39"/>
    </row>
    <row r="546">
      <c r="F546" s="5"/>
      <c r="G546" s="39"/>
      <c r="H546" s="15"/>
      <c r="I546" s="39"/>
    </row>
    <row r="547">
      <c r="F547" s="5"/>
      <c r="G547" s="39"/>
      <c r="H547" s="15"/>
      <c r="I547" s="39"/>
    </row>
    <row r="548">
      <c r="F548" s="5"/>
      <c r="G548" s="39"/>
      <c r="H548" s="15"/>
      <c r="I548" s="39"/>
    </row>
    <row r="549">
      <c r="F549" s="5"/>
      <c r="G549" s="39"/>
      <c r="H549" s="15"/>
      <c r="I549" s="39"/>
    </row>
    <row r="550">
      <c r="F550" s="5"/>
      <c r="G550" s="39"/>
      <c r="H550" s="15"/>
      <c r="I550" s="39"/>
    </row>
    <row r="551">
      <c r="F551" s="5"/>
      <c r="G551" s="39"/>
      <c r="H551" s="15"/>
      <c r="I551" s="39"/>
    </row>
    <row r="552">
      <c r="F552" s="5"/>
      <c r="G552" s="39"/>
      <c r="H552" s="15"/>
      <c r="I552" s="39"/>
    </row>
    <row r="553">
      <c r="F553" s="5"/>
      <c r="G553" s="39"/>
      <c r="H553" s="15"/>
      <c r="I553" s="39"/>
    </row>
    <row r="554">
      <c r="F554" s="5"/>
      <c r="G554" s="39"/>
      <c r="H554" s="15"/>
      <c r="I554" s="39"/>
    </row>
    <row r="555">
      <c r="F555" s="5"/>
      <c r="G555" s="39"/>
      <c r="H555" s="15"/>
      <c r="I555" s="39"/>
    </row>
    <row r="556">
      <c r="F556" s="5"/>
      <c r="G556" s="39"/>
      <c r="H556" s="15"/>
      <c r="I556" s="39"/>
    </row>
    <row r="557">
      <c r="F557" s="5"/>
      <c r="G557" s="39"/>
      <c r="H557" s="15"/>
      <c r="I557" s="39"/>
    </row>
    <row r="558">
      <c r="F558" s="5"/>
      <c r="G558" s="39"/>
      <c r="H558" s="15"/>
      <c r="I558" s="39"/>
    </row>
    <row r="559">
      <c r="F559" s="5"/>
      <c r="G559" s="39"/>
      <c r="H559" s="15"/>
      <c r="I559" s="39"/>
    </row>
    <row r="560">
      <c r="F560" s="5"/>
      <c r="G560" s="39"/>
      <c r="H560" s="15"/>
      <c r="I560" s="39"/>
    </row>
    <row r="561">
      <c r="F561" s="5"/>
      <c r="G561" s="39"/>
      <c r="H561" s="15"/>
      <c r="I561" s="39"/>
    </row>
    <row r="562">
      <c r="F562" s="5"/>
      <c r="G562" s="39"/>
      <c r="H562" s="15"/>
      <c r="I562" s="39"/>
    </row>
    <row r="563">
      <c r="F563" s="5"/>
      <c r="G563" s="39"/>
      <c r="H563" s="15"/>
      <c r="I563" s="39"/>
    </row>
    <row r="564">
      <c r="F564" s="5"/>
      <c r="G564" s="39"/>
      <c r="H564" s="15"/>
      <c r="I564" s="39"/>
    </row>
    <row r="565">
      <c r="F565" s="5"/>
      <c r="G565" s="39"/>
      <c r="H565" s="15"/>
      <c r="I565" s="39"/>
    </row>
    <row r="566">
      <c r="F566" s="5"/>
      <c r="G566" s="39"/>
      <c r="H566" s="15"/>
      <c r="I566" s="39"/>
    </row>
    <row r="567">
      <c r="F567" s="5"/>
      <c r="G567" s="39"/>
      <c r="H567" s="15"/>
      <c r="I567" s="39"/>
    </row>
    <row r="568">
      <c r="F568" s="5"/>
      <c r="G568" s="39"/>
      <c r="H568" s="15"/>
      <c r="I568" s="39"/>
    </row>
    <row r="569">
      <c r="F569" s="5"/>
      <c r="G569" s="39"/>
      <c r="H569" s="15"/>
      <c r="I569" s="39"/>
    </row>
    <row r="570">
      <c r="F570" s="5"/>
      <c r="G570" s="39"/>
      <c r="H570" s="15"/>
      <c r="I570" s="39"/>
    </row>
    <row r="571">
      <c r="F571" s="5"/>
      <c r="G571" s="39"/>
      <c r="H571" s="15"/>
      <c r="I571" s="39"/>
    </row>
    <row r="572">
      <c r="F572" s="5"/>
      <c r="G572" s="39"/>
      <c r="H572" s="15"/>
      <c r="I572" s="39"/>
    </row>
    <row r="573">
      <c r="F573" s="5"/>
      <c r="G573" s="39"/>
      <c r="H573" s="15"/>
      <c r="I573" s="39"/>
    </row>
    <row r="574">
      <c r="F574" s="5"/>
      <c r="G574" s="39"/>
      <c r="H574" s="15"/>
      <c r="I574" s="39"/>
    </row>
    <row r="575">
      <c r="F575" s="5"/>
      <c r="G575" s="39"/>
      <c r="H575" s="15"/>
      <c r="I575" s="39"/>
    </row>
    <row r="576">
      <c r="F576" s="5"/>
      <c r="G576" s="39"/>
      <c r="H576" s="15"/>
      <c r="I576" s="39"/>
    </row>
    <row r="577">
      <c r="F577" s="5"/>
      <c r="G577" s="39"/>
      <c r="H577" s="15"/>
      <c r="I577" s="39"/>
    </row>
    <row r="578">
      <c r="F578" s="5"/>
      <c r="G578" s="39"/>
      <c r="H578" s="15"/>
      <c r="I578" s="39"/>
    </row>
    <row r="579">
      <c r="F579" s="5"/>
      <c r="G579" s="39"/>
      <c r="H579" s="15"/>
      <c r="I579" s="39"/>
    </row>
    <row r="580">
      <c r="F580" s="5"/>
      <c r="G580" s="39"/>
      <c r="H580" s="15"/>
      <c r="I580" s="39"/>
    </row>
    <row r="581">
      <c r="F581" s="5"/>
      <c r="G581" s="39"/>
      <c r="H581" s="15"/>
      <c r="I581" s="39"/>
    </row>
    <row r="582">
      <c r="F582" s="5"/>
      <c r="G582" s="39"/>
      <c r="H582" s="15"/>
      <c r="I582" s="39"/>
    </row>
    <row r="583">
      <c r="F583" s="5"/>
      <c r="G583" s="39"/>
      <c r="H583" s="15"/>
      <c r="I583" s="39"/>
    </row>
    <row r="584">
      <c r="F584" s="5"/>
      <c r="G584" s="39"/>
      <c r="H584" s="15"/>
      <c r="I584" s="39"/>
    </row>
    <row r="585">
      <c r="F585" s="5"/>
      <c r="G585" s="39"/>
      <c r="H585" s="15"/>
      <c r="I585" s="39"/>
    </row>
    <row r="586">
      <c r="F586" s="5"/>
      <c r="G586" s="39"/>
      <c r="H586" s="15"/>
      <c r="I586" s="39"/>
    </row>
    <row r="587">
      <c r="F587" s="5"/>
      <c r="G587" s="39"/>
      <c r="H587" s="15"/>
      <c r="I587" s="39"/>
    </row>
    <row r="588">
      <c r="F588" s="5"/>
      <c r="G588" s="39"/>
      <c r="H588" s="15"/>
      <c r="I588" s="39"/>
    </row>
    <row r="589">
      <c r="F589" s="5"/>
      <c r="G589" s="39"/>
      <c r="H589" s="15"/>
      <c r="I589" s="39"/>
    </row>
    <row r="590">
      <c r="F590" s="5"/>
      <c r="G590" s="39"/>
      <c r="H590" s="15"/>
      <c r="I590" s="39"/>
    </row>
    <row r="591">
      <c r="F591" s="5"/>
      <c r="G591" s="39"/>
      <c r="H591" s="15"/>
      <c r="I591" s="39"/>
    </row>
    <row r="592">
      <c r="F592" s="5"/>
      <c r="G592" s="39"/>
      <c r="H592" s="15"/>
      <c r="I592" s="39"/>
    </row>
    <row r="593">
      <c r="F593" s="5"/>
      <c r="G593" s="39"/>
      <c r="H593" s="15"/>
      <c r="I593" s="39"/>
    </row>
    <row r="594">
      <c r="F594" s="5"/>
      <c r="G594" s="39"/>
      <c r="H594" s="15"/>
      <c r="I594" s="39"/>
    </row>
    <row r="595">
      <c r="F595" s="5"/>
      <c r="G595" s="39"/>
      <c r="H595" s="15"/>
      <c r="I595" s="39"/>
    </row>
    <row r="596">
      <c r="F596" s="5"/>
      <c r="G596" s="39"/>
      <c r="H596" s="15"/>
      <c r="I596" s="39"/>
    </row>
    <row r="597">
      <c r="F597" s="5"/>
      <c r="G597" s="39"/>
      <c r="H597" s="15"/>
      <c r="I597" s="39"/>
    </row>
    <row r="598">
      <c r="F598" s="5"/>
      <c r="G598" s="39"/>
      <c r="H598" s="15"/>
      <c r="I598" s="39"/>
    </row>
    <row r="599">
      <c r="F599" s="5"/>
      <c r="G599" s="39"/>
      <c r="H599" s="15"/>
      <c r="I599" s="39"/>
    </row>
    <row r="600">
      <c r="F600" s="5"/>
      <c r="G600" s="39"/>
      <c r="H600" s="15"/>
      <c r="I600" s="39"/>
    </row>
    <row r="601">
      <c r="F601" s="5"/>
      <c r="G601" s="39"/>
      <c r="H601" s="15"/>
      <c r="I601" s="39"/>
    </row>
    <row r="602">
      <c r="F602" s="5"/>
      <c r="G602" s="39"/>
      <c r="H602" s="15"/>
      <c r="I602" s="39"/>
    </row>
    <row r="603">
      <c r="F603" s="5"/>
      <c r="G603" s="39"/>
      <c r="H603" s="15"/>
      <c r="I603" s="39"/>
    </row>
    <row r="604">
      <c r="F604" s="5"/>
      <c r="G604" s="39"/>
      <c r="H604" s="15"/>
      <c r="I604" s="39"/>
    </row>
    <row r="605">
      <c r="F605" s="5"/>
      <c r="G605" s="39"/>
      <c r="H605" s="15"/>
      <c r="I605" s="39"/>
    </row>
    <row r="606">
      <c r="F606" s="5"/>
      <c r="G606" s="39"/>
      <c r="H606" s="15"/>
      <c r="I606" s="39"/>
    </row>
    <row r="607">
      <c r="F607" s="5"/>
      <c r="G607" s="39"/>
      <c r="H607" s="15"/>
      <c r="I607" s="39"/>
    </row>
    <row r="608">
      <c r="F608" s="5"/>
      <c r="G608" s="39"/>
      <c r="H608" s="15"/>
      <c r="I608" s="39"/>
    </row>
    <row r="609">
      <c r="F609" s="5"/>
      <c r="G609" s="39"/>
      <c r="H609" s="15"/>
      <c r="I609" s="39"/>
    </row>
    <row r="610">
      <c r="F610" s="5"/>
      <c r="G610" s="39"/>
      <c r="H610" s="15"/>
      <c r="I610" s="39"/>
    </row>
    <row r="611">
      <c r="F611" s="5"/>
      <c r="G611" s="39"/>
      <c r="H611" s="15"/>
      <c r="I611" s="39"/>
    </row>
    <row r="612">
      <c r="F612" s="5"/>
      <c r="G612" s="39"/>
      <c r="H612" s="15"/>
      <c r="I612" s="39"/>
    </row>
    <row r="613">
      <c r="F613" s="5"/>
      <c r="G613" s="39"/>
      <c r="H613" s="15"/>
      <c r="I613" s="39"/>
    </row>
    <row r="614">
      <c r="F614" s="5"/>
      <c r="G614" s="39"/>
      <c r="H614" s="15"/>
      <c r="I614" s="39"/>
    </row>
    <row r="615">
      <c r="F615" s="5"/>
      <c r="G615" s="39"/>
      <c r="H615" s="15"/>
      <c r="I615" s="39"/>
    </row>
    <row r="616">
      <c r="F616" s="5"/>
      <c r="G616" s="39"/>
      <c r="H616" s="15"/>
      <c r="I616" s="39"/>
    </row>
    <row r="617">
      <c r="F617" s="5"/>
      <c r="G617" s="39"/>
      <c r="H617" s="15"/>
      <c r="I617" s="39"/>
    </row>
    <row r="618">
      <c r="F618" s="5"/>
      <c r="G618" s="39"/>
      <c r="H618" s="15"/>
      <c r="I618" s="39"/>
    </row>
    <row r="619">
      <c r="F619" s="5"/>
      <c r="G619" s="39"/>
      <c r="H619" s="15"/>
      <c r="I619" s="39"/>
    </row>
    <row r="620">
      <c r="F620" s="5"/>
      <c r="G620" s="39"/>
      <c r="H620" s="15"/>
      <c r="I620" s="39"/>
    </row>
    <row r="621">
      <c r="F621" s="5"/>
      <c r="G621" s="39"/>
      <c r="H621" s="15"/>
      <c r="I621" s="39"/>
    </row>
    <row r="622">
      <c r="F622" s="5"/>
      <c r="G622" s="39"/>
      <c r="H622" s="15"/>
      <c r="I622" s="39"/>
    </row>
    <row r="623">
      <c r="F623" s="5"/>
      <c r="G623" s="39"/>
      <c r="H623" s="15"/>
      <c r="I623" s="39"/>
    </row>
    <row r="624">
      <c r="F624" s="5"/>
      <c r="G624" s="39"/>
      <c r="H624" s="15"/>
      <c r="I624" s="39"/>
    </row>
    <row r="625">
      <c r="F625" s="5"/>
      <c r="G625" s="39"/>
      <c r="H625" s="15"/>
      <c r="I625" s="39"/>
    </row>
    <row r="626">
      <c r="F626" s="5"/>
      <c r="G626" s="39"/>
      <c r="H626" s="15"/>
      <c r="I626" s="39"/>
    </row>
    <row r="627">
      <c r="F627" s="5"/>
      <c r="G627" s="39"/>
      <c r="H627" s="15"/>
      <c r="I627" s="39"/>
    </row>
    <row r="628">
      <c r="F628" s="5"/>
      <c r="G628" s="39"/>
      <c r="H628" s="15"/>
      <c r="I628" s="39"/>
    </row>
    <row r="629">
      <c r="F629" s="5"/>
      <c r="G629" s="39"/>
      <c r="H629" s="15"/>
      <c r="I629" s="39"/>
    </row>
    <row r="630">
      <c r="F630" s="5"/>
      <c r="G630" s="39"/>
      <c r="H630" s="15"/>
      <c r="I630" s="39"/>
    </row>
    <row r="631">
      <c r="F631" s="5"/>
      <c r="G631" s="39"/>
      <c r="H631" s="15"/>
      <c r="I631" s="39"/>
    </row>
    <row r="632">
      <c r="F632" s="5"/>
      <c r="G632" s="39"/>
      <c r="H632" s="15"/>
      <c r="I632" s="39"/>
    </row>
    <row r="633">
      <c r="F633" s="5"/>
      <c r="G633" s="39"/>
      <c r="H633" s="15"/>
      <c r="I633" s="39"/>
    </row>
    <row r="634">
      <c r="F634" s="5"/>
      <c r="G634" s="39"/>
      <c r="H634" s="15"/>
      <c r="I634" s="39"/>
    </row>
    <row r="635">
      <c r="F635" s="5"/>
      <c r="G635" s="39"/>
      <c r="H635" s="15"/>
      <c r="I635" s="39"/>
    </row>
    <row r="636">
      <c r="F636" s="5"/>
      <c r="G636" s="39"/>
      <c r="H636" s="15"/>
      <c r="I636" s="39"/>
    </row>
    <row r="637">
      <c r="F637" s="5"/>
      <c r="G637" s="39"/>
      <c r="H637" s="15"/>
      <c r="I637" s="39"/>
    </row>
    <row r="638">
      <c r="F638" s="5"/>
      <c r="G638" s="39"/>
      <c r="H638" s="15"/>
      <c r="I638" s="39"/>
    </row>
    <row r="639">
      <c r="F639" s="5"/>
      <c r="G639" s="39"/>
      <c r="H639" s="15"/>
      <c r="I639" s="39"/>
    </row>
    <row r="640">
      <c r="F640" s="5"/>
      <c r="G640" s="39"/>
      <c r="H640" s="15"/>
      <c r="I640" s="39"/>
    </row>
    <row r="641">
      <c r="F641" s="5"/>
      <c r="G641" s="39"/>
      <c r="H641" s="15"/>
      <c r="I641" s="39"/>
    </row>
    <row r="642">
      <c r="F642" s="5"/>
      <c r="G642" s="39"/>
      <c r="H642" s="15"/>
      <c r="I642" s="39"/>
    </row>
    <row r="643">
      <c r="F643" s="5"/>
      <c r="G643" s="39"/>
      <c r="H643" s="15"/>
      <c r="I643" s="39"/>
    </row>
    <row r="644">
      <c r="F644" s="5"/>
      <c r="G644" s="39"/>
      <c r="H644" s="15"/>
      <c r="I644" s="39"/>
    </row>
    <row r="645">
      <c r="F645" s="5"/>
      <c r="G645" s="39"/>
      <c r="H645" s="15"/>
      <c r="I645" s="39"/>
    </row>
    <row r="646">
      <c r="F646" s="5"/>
      <c r="G646" s="39"/>
      <c r="H646" s="15"/>
      <c r="I646" s="39"/>
    </row>
    <row r="647">
      <c r="F647" s="5"/>
      <c r="G647" s="39"/>
      <c r="H647" s="15"/>
      <c r="I647" s="39"/>
    </row>
    <row r="648">
      <c r="F648" s="5"/>
      <c r="G648" s="39"/>
      <c r="H648" s="15"/>
      <c r="I648" s="39"/>
    </row>
    <row r="649">
      <c r="F649" s="5"/>
      <c r="G649" s="39"/>
      <c r="H649" s="15"/>
      <c r="I649" s="39"/>
    </row>
    <row r="650">
      <c r="F650" s="5"/>
      <c r="G650" s="39"/>
      <c r="H650" s="15"/>
      <c r="I650" s="39"/>
    </row>
    <row r="651">
      <c r="F651" s="5"/>
      <c r="G651" s="39"/>
      <c r="H651" s="15"/>
      <c r="I651" s="39"/>
    </row>
    <row r="652">
      <c r="F652" s="5"/>
      <c r="G652" s="39"/>
      <c r="H652" s="15"/>
      <c r="I652" s="39"/>
    </row>
    <row r="653">
      <c r="F653" s="5"/>
      <c r="G653" s="39"/>
      <c r="H653" s="15"/>
      <c r="I653" s="39"/>
    </row>
    <row r="654">
      <c r="F654" s="5"/>
      <c r="G654" s="39"/>
      <c r="H654" s="15"/>
      <c r="I654" s="39"/>
    </row>
    <row r="655">
      <c r="F655" s="5"/>
      <c r="G655" s="39"/>
      <c r="H655" s="15"/>
      <c r="I655" s="39"/>
    </row>
    <row r="656">
      <c r="F656" s="5"/>
      <c r="G656" s="39"/>
      <c r="H656" s="15"/>
      <c r="I656" s="39"/>
    </row>
    <row r="657">
      <c r="F657" s="5"/>
      <c r="G657" s="39"/>
      <c r="H657" s="15"/>
      <c r="I657" s="39"/>
    </row>
    <row r="658">
      <c r="F658" s="5"/>
      <c r="G658" s="39"/>
      <c r="H658" s="15"/>
      <c r="I658" s="39"/>
    </row>
    <row r="659">
      <c r="F659" s="5"/>
      <c r="G659" s="39"/>
      <c r="H659" s="15"/>
      <c r="I659" s="39"/>
    </row>
    <row r="660">
      <c r="F660" s="5"/>
      <c r="G660" s="39"/>
      <c r="H660" s="15"/>
      <c r="I660" s="39"/>
    </row>
    <row r="661">
      <c r="F661" s="5"/>
      <c r="G661" s="39"/>
      <c r="H661" s="15"/>
      <c r="I661" s="39"/>
    </row>
    <row r="662">
      <c r="F662" s="5"/>
      <c r="G662" s="39"/>
      <c r="H662" s="15"/>
      <c r="I662" s="39"/>
    </row>
    <row r="663">
      <c r="F663" s="5"/>
      <c r="G663" s="39"/>
      <c r="H663" s="15"/>
      <c r="I663" s="39"/>
    </row>
    <row r="664">
      <c r="F664" s="5"/>
      <c r="G664" s="39"/>
      <c r="H664" s="15"/>
      <c r="I664" s="39"/>
    </row>
    <row r="665">
      <c r="F665" s="5"/>
      <c r="G665" s="39"/>
      <c r="H665" s="15"/>
      <c r="I665" s="39"/>
    </row>
    <row r="666">
      <c r="F666" s="5"/>
      <c r="G666" s="39"/>
      <c r="H666" s="15"/>
      <c r="I666" s="39"/>
    </row>
    <row r="667">
      <c r="F667" s="5"/>
      <c r="G667" s="39"/>
      <c r="H667" s="15"/>
      <c r="I667" s="39"/>
    </row>
    <row r="668">
      <c r="F668" s="5"/>
      <c r="G668" s="39"/>
      <c r="H668" s="15"/>
      <c r="I668" s="39"/>
    </row>
    <row r="669">
      <c r="F669" s="5"/>
      <c r="G669" s="39"/>
      <c r="H669" s="15"/>
      <c r="I669" s="39"/>
    </row>
    <row r="670">
      <c r="F670" s="5"/>
      <c r="G670" s="39"/>
      <c r="H670" s="15"/>
      <c r="I670" s="39"/>
    </row>
    <row r="671">
      <c r="F671" s="5"/>
      <c r="G671" s="39"/>
      <c r="H671" s="15"/>
      <c r="I671" s="39"/>
    </row>
    <row r="672">
      <c r="F672" s="5"/>
      <c r="G672" s="39"/>
      <c r="H672" s="15"/>
      <c r="I672" s="39"/>
    </row>
    <row r="673">
      <c r="F673" s="5"/>
      <c r="G673" s="39"/>
      <c r="H673" s="15"/>
      <c r="I673" s="39"/>
    </row>
    <row r="674">
      <c r="F674" s="5"/>
      <c r="G674" s="39"/>
      <c r="H674" s="15"/>
      <c r="I674" s="39"/>
    </row>
    <row r="675">
      <c r="F675" s="5"/>
      <c r="G675" s="39"/>
      <c r="H675" s="15"/>
      <c r="I675" s="39"/>
    </row>
    <row r="676">
      <c r="F676" s="5"/>
      <c r="G676" s="39"/>
      <c r="H676" s="15"/>
      <c r="I676" s="39"/>
    </row>
    <row r="677">
      <c r="F677" s="5"/>
      <c r="G677" s="39"/>
      <c r="H677" s="15"/>
      <c r="I677" s="39"/>
    </row>
    <row r="678">
      <c r="F678" s="5"/>
      <c r="G678" s="39"/>
      <c r="H678" s="15"/>
      <c r="I678" s="39"/>
    </row>
    <row r="679">
      <c r="F679" s="5"/>
      <c r="G679" s="39"/>
      <c r="H679" s="15"/>
      <c r="I679" s="39"/>
    </row>
    <row r="680">
      <c r="F680" s="5"/>
      <c r="G680" s="39"/>
      <c r="H680" s="15"/>
      <c r="I680" s="39"/>
    </row>
    <row r="681">
      <c r="F681" s="5"/>
      <c r="G681" s="39"/>
      <c r="H681" s="15"/>
      <c r="I681" s="39"/>
    </row>
    <row r="682">
      <c r="F682" s="5"/>
      <c r="G682" s="39"/>
      <c r="H682" s="15"/>
      <c r="I682" s="39"/>
    </row>
    <row r="683">
      <c r="F683" s="5"/>
      <c r="G683" s="39"/>
      <c r="H683" s="15"/>
      <c r="I683" s="39"/>
    </row>
    <row r="684">
      <c r="F684" s="5"/>
      <c r="G684" s="39"/>
      <c r="H684" s="15"/>
      <c r="I684" s="39"/>
    </row>
    <row r="685">
      <c r="F685" s="5"/>
      <c r="G685" s="39"/>
      <c r="H685" s="15"/>
      <c r="I685" s="39"/>
    </row>
    <row r="686">
      <c r="F686" s="5"/>
      <c r="G686" s="39"/>
      <c r="H686" s="15"/>
      <c r="I686" s="39"/>
    </row>
    <row r="687">
      <c r="F687" s="5"/>
      <c r="G687" s="39"/>
      <c r="H687" s="15"/>
      <c r="I687" s="39"/>
    </row>
    <row r="688">
      <c r="F688" s="5"/>
      <c r="G688" s="39"/>
      <c r="H688" s="15"/>
      <c r="I688" s="39"/>
    </row>
    <row r="689">
      <c r="F689" s="5"/>
      <c r="G689" s="39"/>
      <c r="H689" s="15"/>
      <c r="I689" s="39"/>
    </row>
    <row r="690">
      <c r="F690" s="5"/>
      <c r="G690" s="39"/>
      <c r="H690" s="15"/>
      <c r="I690" s="39"/>
    </row>
    <row r="691">
      <c r="F691" s="5"/>
      <c r="G691" s="39"/>
      <c r="H691" s="15"/>
      <c r="I691" s="39"/>
    </row>
    <row r="692">
      <c r="F692" s="5"/>
      <c r="G692" s="39"/>
      <c r="H692" s="15"/>
      <c r="I692" s="39"/>
    </row>
    <row r="693">
      <c r="F693" s="5"/>
      <c r="G693" s="39"/>
      <c r="H693" s="15"/>
      <c r="I693" s="39"/>
    </row>
    <row r="694">
      <c r="F694" s="5"/>
      <c r="G694" s="39"/>
      <c r="H694" s="15"/>
      <c r="I694" s="39"/>
    </row>
    <row r="695">
      <c r="F695" s="5"/>
      <c r="G695" s="39"/>
      <c r="H695" s="15"/>
      <c r="I695" s="39"/>
    </row>
    <row r="696">
      <c r="F696" s="5"/>
      <c r="G696" s="39"/>
      <c r="H696" s="15"/>
      <c r="I696" s="39"/>
    </row>
    <row r="697">
      <c r="F697" s="5"/>
      <c r="G697" s="39"/>
      <c r="H697" s="15"/>
      <c r="I697" s="39"/>
    </row>
    <row r="698">
      <c r="F698" s="5"/>
      <c r="G698" s="39"/>
      <c r="H698" s="15"/>
      <c r="I698" s="39"/>
    </row>
    <row r="699">
      <c r="F699" s="5"/>
      <c r="G699" s="39"/>
      <c r="H699" s="15"/>
      <c r="I699" s="39"/>
    </row>
    <row r="700">
      <c r="F700" s="5"/>
      <c r="G700" s="39"/>
      <c r="H700" s="15"/>
      <c r="I700" s="39"/>
    </row>
    <row r="701">
      <c r="F701" s="5"/>
      <c r="G701" s="39"/>
      <c r="H701" s="15"/>
      <c r="I701" s="39"/>
    </row>
    <row r="702">
      <c r="F702" s="5"/>
      <c r="G702" s="39"/>
      <c r="H702" s="15"/>
      <c r="I702" s="39"/>
    </row>
    <row r="703">
      <c r="F703" s="5"/>
      <c r="G703" s="39"/>
      <c r="H703" s="15"/>
      <c r="I703" s="39"/>
    </row>
    <row r="704">
      <c r="F704" s="5"/>
      <c r="G704" s="39"/>
      <c r="H704" s="15"/>
      <c r="I704" s="39"/>
    </row>
    <row r="705">
      <c r="F705" s="5"/>
      <c r="G705" s="39"/>
      <c r="H705" s="15"/>
      <c r="I705" s="39"/>
    </row>
    <row r="706">
      <c r="F706" s="5"/>
      <c r="G706" s="39"/>
      <c r="H706" s="15"/>
      <c r="I706" s="39"/>
    </row>
    <row r="707">
      <c r="F707" s="5"/>
      <c r="G707" s="39"/>
      <c r="H707" s="15"/>
      <c r="I707" s="39"/>
    </row>
    <row r="708">
      <c r="F708" s="5"/>
      <c r="G708" s="39"/>
      <c r="H708" s="15"/>
      <c r="I708" s="39"/>
    </row>
    <row r="709">
      <c r="F709" s="5"/>
      <c r="G709" s="39"/>
      <c r="H709" s="15"/>
      <c r="I709" s="39"/>
    </row>
    <row r="710">
      <c r="F710" s="5"/>
      <c r="G710" s="39"/>
      <c r="H710" s="15"/>
      <c r="I710" s="39"/>
    </row>
    <row r="711">
      <c r="F711" s="5"/>
      <c r="G711" s="39"/>
      <c r="H711" s="15"/>
      <c r="I711" s="39"/>
    </row>
    <row r="712">
      <c r="F712" s="5"/>
      <c r="G712" s="39"/>
      <c r="H712" s="15"/>
      <c r="I712" s="39"/>
    </row>
    <row r="713">
      <c r="F713" s="5"/>
      <c r="G713" s="39"/>
      <c r="H713" s="15"/>
      <c r="I713" s="39"/>
    </row>
    <row r="714">
      <c r="F714" s="5"/>
      <c r="G714" s="39"/>
      <c r="H714" s="15"/>
      <c r="I714" s="39"/>
    </row>
    <row r="715">
      <c r="F715" s="5"/>
      <c r="G715" s="39"/>
      <c r="H715" s="15"/>
      <c r="I715" s="39"/>
    </row>
    <row r="716">
      <c r="F716" s="5"/>
      <c r="G716" s="39"/>
      <c r="H716" s="15"/>
      <c r="I716" s="39"/>
    </row>
    <row r="717">
      <c r="F717" s="5"/>
      <c r="G717" s="39"/>
      <c r="H717" s="15"/>
      <c r="I717" s="39"/>
    </row>
    <row r="718">
      <c r="F718" s="5"/>
      <c r="G718" s="39"/>
      <c r="H718" s="15"/>
      <c r="I718" s="39"/>
    </row>
    <row r="719">
      <c r="F719" s="5"/>
      <c r="G719" s="39"/>
      <c r="H719" s="15"/>
      <c r="I719" s="39"/>
    </row>
    <row r="720">
      <c r="F720" s="5"/>
      <c r="G720" s="39"/>
      <c r="H720" s="15"/>
      <c r="I720" s="39"/>
    </row>
    <row r="721">
      <c r="F721" s="5"/>
      <c r="G721" s="39"/>
      <c r="H721" s="15"/>
      <c r="I721" s="39"/>
    </row>
    <row r="722">
      <c r="F722" s="5"/>
      <c r="G722" s="39"/>
      <c r="H722" s="15"/>
      <c r="I722" s="39"/>
    </row>
    <row r="723">
      <c r="F723" s="5"/>
      <c r="G723" s="39"/>
      <c r="H723" s="15"/>
      <c r="I723" s="39"/>
    </row>
    <row r="724">
      <c r="F724" s="5"/>
      <c r="G724" s="39"/>
      <c r="H724" s="15"/>
      <c r="I724" s="39"/>
    </row>
    <row r="725">
      <c r="F725" s="5"/>
      <c r="G725" s="39"/>
      <c r="H725" s="15"/>
      <c r="I725" s="39"/>
    </row>
    <row r="726">
      <c r="F726" s="5"/>
      <c r="G726" s="39"/>
      <c r="H726" s="15"/>
      <c r="I726" s="39"/>
    </row>
    <row r="727">
      <c r="F727" s="5"/>
      <c r="G727" s="39"/>
      <c r="H727" s="15"/>
      <c r="I727" s="39"/>
    </row>
    <row r="728">
      <c r="F728" s="5"/>
      <c r="G728" s="39"/>
      <c r="H728" s="15"/>
      <c r="I728" s="39"/>
    </row>
    <row r="729">
      <c r="F729" s="5"/>
      <c r="G729" s="39"/>
      <c r="H729" s="15"/>
      <c r="I729" s="39"/>
    </row>
    <row r="730">
      <c r="F730" s="5"/>
      <c r="G730" s="39"/>
      <c r="H730" s="15"/>
      <c r="I730" s="39"/>
    </row>
    <row r="731">
      <c r="F731" s="5"/>
      <c r="G731" s="39"/>
      <c r="H731" s="15"/>
      <c r="I731" s="39"/>
    </row>
    <row r="732">
      <c r="F732" s="5"/>
      <c r="G732" s="39"/>
      <c r="H732" s="15"/>
      <c r="I732" s="39"/>
    </row>
    <row r="733">
      <c r="F733" s="5"/>
      <c r="G733" s="39"/>
      <c r="H733" s="15"/>
      <c r="I733" s="39"/>
    </row>
    <row r="734">
      <c r="F734" s="5"/>
      <c r="G734" s="39"/>
      <c r="H734" s="15"/>
      <c r="I734" s="39"/>
    </row>
    <row r="735">
      <c r="F735" s="5"/>
      <c r="G735" s="39"/>
      <c r="H735" s="15"/>
      <c r="I735" s="39"/>
    </row>
    <row r="736">
      <c r="F736" s="5"/>
      <c r="G736" s="39"/>
      <c r="H736" s="15"/>
      <c r="I736" s="39"/>
    </row>
    <row r="737">
      <c r="F737" s="5"/>
      <c r="G737" s="39"/>
      <c r="H737" s="15"/>
      <c r="I737" s="39"/>
    </row>
    <row r="738">
      <c r="F738" s="5"/>
      <c r="G738" s="39"/>
      <c r="H738" s="15"/>
      <c r="I738" s="39"/>
    </row>
    <row r="739">
      <c r="F739" s="5"/>
      <c r="G739" s="39"/>
      <c r="H739" s="15"/>
      <c r="I739" s="39"/>
    </row>
    <row r="740">
      <c r="F740" s="5"/>
      <c r="G740" s="39"/>
      <c r="H740" s="15"/>
      <c r="I740" s="39"/>
    </row>
    <row r="741">
      <c r="F741" s="5"/>
      <c r="G741" s="39"/>
      <c r="H741" s="15"/>
      <c r="I741" s="39"/>
    </row>
    <row r="742">
      <c r="F742" s="5"/>
      <c r="G742" s="39"/>
      <c r="H742" s="15"/>
      <c r="I742" s="39"/>
    </row>
    <row r="743">
      <c r="F743" s="5"/>
      <c r="G743" s="39"/>
      <c r="H743" s="15"/>
      <c r="I743" s="39"/>
    </row>
    <row r="744">
      <c r="F744" s="5"/>
      <c r="G744" s="39"/>
      <c r="H744" s="15"/>
      <c r="I744" s="39"/>
    </row>
    <row r="745">
      <c r="F745" s="5"/>
      <c r="G745" s="39"/>
      <c r="H745" s="15"/>
      <c r="I745" s="39"/>
    </row>
    <row r="746">
      <c r="F746" s="5"/>
      <c r="G746" s="39"/>
      <c r="H746" s="15"/>
      <c r="I746" s="39"/>
    </row>
    <row r="747">
      <c r="F747" s="5"/>
      <c r="G747" s="39"/>
      <c r="H747" s="15"/>
      <c r="I747" s="39"/>
    </row>
    <row r="748">
      <c r="F748" s="5"/>
      <c r="G748" s="39"/>
      <c r="H748" s="15"/>
      <c r="I748" s="39"/>
    </row>
    <row r="749">
      <c r="F749" s="5"/>
      <c r="G749" s="39"/>
      <c r="H749" s="15"/>
      <c r="I749" s="39"/>
    </row>
    <row r="750">
      <c r="F750" s="5"/>
      <c r="G750" s="39"/>
      <c r="H750" s="15"/>
      <c r="I750" s="39"/>
    </row>
    <row r="751">
      <c r="F751" s="5"/>
      <c r="G751" s="39"/>
      <c r="H751" s="15"/>
      <c r="I751" s="39"/>
    </row>
    <row r="752">
      <c r="F752" s="5"/>
      <c r="G752" s="39"/>
      <c r="H752" s="15"/>
      <c r="I752" s="39"/>
    </row>
    <row r="753">
      <c r="F753" s="5"/>
      <c r="G753" s="39"/>
      <c r="H753" s="15"/>
      <c r="I753" s="39"/>
    </row>
    <row r="754">
      <c r="F754" s="5"/>
      <c r="G754" s="39"/>
      <c r="H754" s="15"/>
      <c r="I754" s="39"/>
    </row>
    <row r="755">
      <c r="F755" s="5"/>
      <c r="G755" s="39"/>
      <c r="H755" s="15"/>
      <c r="I755" s="39"/>
    </row>
    <row r="756">
      <c r="F756" s="5"/>
      <c r="G756" s="39"/>
      <c r="H756" s="15"/>
      <c r="I756" s="39"/>
    </row>
    <row r="757">
      <c r="F757" s="5"/>
      <c r="G757" s="39"/>
      <c r="H757" s="15"/>
      <c r="I757" s="39"/>
    </row>
    <row r="758">
      <c r="F758" s="5"/>
      <c r="G758" s="39"/>
      <c r="H758" s="15"/>
      <c r="I758" s="39"/>
    </row>
    <row r="759">
      <c r="F759" s="5"/>
      <c r="G759" s="39"/>
      <c r="H759" s="15"/>
      <c r="I759" s="39"/>
    </row>
    <row r="760">
      <c r="F760" s="5"/>
      <c r="G760" s="39"/>
      <c r="H760" s="15"/>
      <c r="I760" s="39"/>
    </row>
    <row r="761">
      <c r="F761" s="5"/>
      <c r="G761" s="39"/>
      <c r="H761" s="15"/>
      <c r="I761" s="39"/>
    </row>
    <row r="762">
      <c r="F762" s="5"/>
      <c r="G762" s="39"/>
      <c r="H762" s="15"/>
      <c r="I762" s="39"/>
    </row>
    <row r="763">
      <c r="F763" s="5"/>
      <c r="G763" s="39"/>
      <c r="H763" s="15"/>
      <c r="I763" s="39"/>
    </row>
    <row r="764">
      <c r="F764" s="5"/>
      <c r="G764" s="39"/>
      <c r="H764" s="15"/>
      <c r="I764" s="39"/>
    </row>
    <row r="765">
      <c r="F765" s="5"/>
      <c r="G765" s="39"/>
      <c r="H765" s="15"/>
      <c r="I765" s="39"/>
    </row>
    <row r="766">
      <c r="F766" s="5"/>
      <c r="G766" s="39"/>
      <c r="H766" s="15"/>
      <c r="I766" s="39"/>
    </row>
    <row r="767">
      <c r="F767" s="5"/>
      <c r="G767" s="39"/>
      <c r="H767" s="15"/>
      <c r="I767" s="39"/>
    </row>
    <row r="768">
      <c r="F768" s="5"/>
      <c r="G768" s="39"/>
      <c r="H768" s="15"/>
      <c r="I768" s="39"/>
    </row>
    <row r="769">
      <c r="F769" s="5"/>
      <c r="G769" s="39"/>
      <c r="H769" s="15"/>
      <c r="I769" s="39"/>
    </row>
    <row r="770">
      <c r="F770" s="5"/>
      <c r="G770" s="39"/>
      <c r="H770" s="15"/>
      <c r="I770" s="39"/>
    </row>
    <row r="771">
      <c r="F771" s="5"/>
      <c r="G771" s="39"/>
      <c r="H771" s="15"/>
      <c r="I771" s="39"/>
    </row>
    <row r="772">
      <c r="F772" s="5"/>
      <c r="G772" s="39"/>
      <c r="H772" s="15"/>
      <c r="I772" s="39"/>
    </row>
    <row r="773">
      <c r="F773" s="5"/>
      <c r="G773" s="39"/>
      <c r="H773" s="15"/>
      <c r="I773" s="39"/>
    </row>
    <row r="774">
      <c r="F774" s="5"/>
      <c r="G774" s="39"/>
      <c r="H774" s="15"/>
      <c r="I774" s="39"/>
    </row>
    <row r="775">
      <c r="F775" s="5"/>
      <c r="G775" s="39"/>
      <c r="H775" s="15"/>
      <c r="I775" s="39"/>
    </row>
    <row r="776">
      <c r="F776" s="5"/>
      <c r="G776" s="39"/>
      <c r="H776" s="15"/>
      <c r="I776" s="39"/>
    </row>
    <row r="777">
      <c r="F777" s="5"/>
      <c r="G777" s="39"/>
      <c r="H777" s="15"/>
      <c r="I777" s="39"/>
    </row>
    <row r="778">
      <c r="F778" s="5"/>
      <c r="G778" s="39"/>
      <c r="H778" s="15"/>
      <c r="I778" s="39"/>
    </row>
    <row r="779">
      <c r="F779" s="5"/>
      <c r="G779" s="39"/>
      <c r="H779" s="15"/>
      <c r="I779" s="39"/>
    </row>
    <row r="780">
      <c r="F780" s="5"/>
      <c r="G780" s="39"/>
      <c r="H780" s="15"/>
      <c r="I780" s="39"/>
    </row>
    <row r="781">
      <c r="F781" s="5"/>
      <c r="G781" s="39"/>
      <c r="H781" s="15"/>
      <c r="I781" s="39"/>
    </row>
    <row r="782">
      <c r="F782" s="5"/>
      <c r="G782" s="39"/>
      <c r="H782" s="15"/>
      <c r="I782" s="39"/>
    </row>
    <row r="783">
      <c r="F783" s="5"/>
      <c r="G783" s="39"/>
      <c r="H783" s="15"/>
      <c r="I783" s="39"/>
    </row>
    <row r="784">
      <c r="F784" s="5"/>
      <c r="G784" s="39"/>
      <c r="H784" s="15"/>
      <c r="I784" s="39"/>
    </row>
    <row r="785">
      <c r="F785" s="5"/>
      <c r="G785" s="39"/>
      <c r="H785" s="15"/>
      <c r="I785" s="39"/>
    </row>
    <row r="786">
      <c r="F786" s="5"/>
      <c r="G786" s="39"/>
      <c r="H786" s="15"/>
      <c r="I786" s="39"/>
    </row>
    <row r="787">
      <c r="F787" s="5"/>
      <c r="G787" s="39"/>
      <c r="H787" s="15"/>
      <c r="I787" s="39"/>
    </row>
    <row r="788">
      <c r="F788" s="5"/>
      <c r="G788" s="39"/>
      <c r="H788" s="15"/>
      <c r="I788" s="39"/>
    </row>
    <row r="789">
      <c r="F789" s="5"/>
      <c r="G789" s="39"/>
      <c r="H789" s="15"/>
      <c r="I789" s="39"/>
    </row>
    <row r="790">
      <c r="F790" s="5"/>
      <c r="G790" s="39"/>
      <c r="H790" s="15"/>
      <c r="I790" s="39"/>
    </row>
    <row r="791">
      <c r="F791" s="5"/>
      <c r="G791" s="39"/>
      <c r="H791" s="15"/>
      <c r="I791" s="39"/>
    </row>
    <row r="792">
      <c r="F792" s="5"/>
      <c r="G792" s="39"/>
      <c r="H792" s="15"/>
      <c r="I792" s="39"/>
    </row>
    <row r="793">
      <c r="F793" s="5"/>
      <c r="G793" s="39"/>
      <c r="H793" s="15"/>
      <c r="I793" s="39"/>
    </row>
    <row r="794">
      <c r="F794" s="5"/>
      <c r="G794" s="39"/>
      <c r="H794" s="15"/>
      <c r="I794" s="39"/>
    </row>
    <row r="795">
      <c r="F795" s="5"/>
      <c r="G795" s="39"/>
      <c r="H795" s="15"/>
      <c r="I795" s="39"/>
    </row>
    <row r="796">
      <c r="F796" s="5"/>
      <c r="G796" s="39"/>
      <c r="H796" s="15"/>
      <c r="I796" s="39"/>
    </row>
    <row r="797">
      <c r="F797" s="5"/>
      <c r="G797" s="39"/>
      <c r="H797" s="15"/>
      <c r="I797" s="39"/>
    </row>
    <row r="798">
      <c r="F798" s="5"/>
      <c r="G798" s="39"/>
      <c r="H798" s="15"/>
      <c r="I798" s="39"/>
    </row>
    <row r="799">
      <c r="F799" s="5"/>
      <c r="G799" s="39"/>
      <c r="H799" s="15"/>
      <c r="I799" s="39"/>
    </row>
    <row r="800">
      <c r="F800" s="5"/>
      <c r="G800" s="39"/>
      <c r="H800" s="15"/>
      <c r="I800" s="39"/>
    </row>
    <row r="801">
      <c r="F801" s="5"/>
      <c r="G801" s="39"/>
      <c r="H801" s="15"/>
      <c r="I801" s="39"/>
    </row>
    <row r="802">
      <c r="F802" s="5"/>
      <c r="G802" s="39"/>
      <c r="H802" s="15"/>
      <c r="I802" s="39"/>
    </row>
    <row r="803">
      <c r="F803" s="5"/>
      <c r="G803" s="39"/>
      <c r="H803" s="15"/>
      <c r="I803" s="39"/>
    </row>
    <row r="804">
      <c r="F804" s="5"/>
      <c r="G804" s="39"/>
      <c r="H804" s="15"/>
      <c r="I804" s="39"/>
    </row>
    <row r="805">
      <c r="F805" s="5"/>
      <c r="G805" s="39"/>
      <c r="H805" s="15"/>
      <c r="I805" s="39"/>
    </row>
    <row r="806">
      <c r="F806" s="5"/>
      <c r="G806" s="39"/>
      <c r="H806" s="15"/>
      <c r="I806" s="39"/>
    </row>
    <row r="807">
      <c r="F807" s="5"/>
      <c r="G807" s="39"/>
      <c r="H807" s="15"/>
      <c r="I807" s="39"/>
    </row>
    <row r="808">
      <c r="F808" s="5"/>
      <c r="G808" s="39"/>
      <c r="H808" s="15"/>
      <c r="I808" s="39"/>
    </row>
    <row r="809">
      <c r="F809" s="5"/>
      <c r="G809" s="39"/>
      <c r="H809" s="15"/>
      <c r="I809" s="39"/>
    </row>
    <row r="810">
      <c r="F810" s="5"/>
      <c r="G810" s="39"/>
      <c r="H810" s="15"/>
      <c r="I810" s="39"/>
    </row>
    <row r="811">
      <c r="F811" s="5"/>
      <c r="G811" s="39"/>
      <c r="H811" s="15"/>
      <c r="I811" s="39"/>
    </row>
    <row r="812">
      <c r="F812" s="5"/>
      <c r="G812" s="39"/>
      <c r="H812" s="15"/>
      <c r="I812" s="39"/>
    </row>
    <row r="813">
      <c r="F813" s="5"/>
      <c r="G813" s="39"/>
      <c r="H813" s="15"/>
      <c r="I813" s="39"/>
    </row>
    <row r="814">
      <c r="F814" s="5"/>
      <c r="G814" s="39"/>
      <c r="H814" s="15"/>
      <c r="I814" s="39"/>
    </row>
    <row r="815">
      <c r="F815" s="5"/>
      <c r="G815" s="39"/>
      <c r="H815" s="15"/>
      <c r="I815" s="39"/>
    </row>
    <row r="816">
      <c r="F816" s="5"/>
      <c r="G816" s="39"/>
      <c r="H816" s="15"/>
      <c r="I816" s="39"/>
    </row>
    <row r="817">
      <c r="F817" s="5"/>
      <c r="G817" s="39"/>
      <c r="H817" s="15"/>
      <c r="I817" s="39"/>
    </row>
    <row r="818">
      <c r="F818" s="5"/>
      <c r="G818" s="39"/>
      <c r="H818" s="15"/>
      <c r="I818" s="39"/>
    </row>
    <row r="819">
      <c r="F819" s="5"/>
      <c r="G819" s="39"/>
      <c r="H819" s="15"/>
      <c r="I819" s="39"/>
    </row>
    <row r="820">
      <c r="F820" s="5"/>
      <c r="G820" s="39"/>
      <c r="H820" s="15"/>
      <c r="I820" s="39"/>
    </row>
    <row r="821">
      <c r="F821" s="5"/>
      <c r="G821" s="39"/>
      <c r="H821" s="15"/>
      <c r="I821" s="39"/>
    </row>
    <row r="822">
      <c r="F822" s="5"/>
      <c r="G822" s="39"/>
      <c r="H822" s="15"/>
      <c r="I822" s="39"/>
    </row>
    <row r="823">
      <c r="F823" s="5"/>
      <c r="G823" s="39"/>
      <c r="H823" s="15"/>
      <c r="I823" s="39"/>
    </row>
    <row r="824">
      <c r="F824" s="5"/>
      <c r="G824" s="39"/>
      <c r="H824" s="15"/>
      <c r="I824" s="39"/>
    </row>
    <row r="825">
      <c r="F825" s="5"/>
      <c r="G825" s="39"/>
      <c r="H825" s="15"/>
      <c r="I825" s="39"/>
    </row>
    <row r="826">
      <c r="F826" s="5"/>
      <c r="G826" s="39"/>
      <c r="H826" s="15"/>
      <c r="I826" s="39"/>
    </row>
    <row r="827">
      <c r="F827" s="5"/>
      <c r="G827" s="39"/>
      <c r="H827" s="15"/>
      <c r="I827" s="39"/>
    </row>
    <row r="828">
      <c r="F828" s="5"/>
      <c r="G828" s="39"/>
      <c r="H828" s="15"/>
      <c r="I828" s="39"/>
    </row>
    <row r="829">
      <c r="F829" s="5"/>
      <c r="G829" s="39"/>
      <c r="H829" s="15"/>
      <c r="I829" s="39"/>
    </row>
    <row r="830">
      <c r="F830" s="5"/>
      <c r="G830" s="39"/>
      <c r="H830" s="15"/>
      <c r="I830" s="39"/>
    </row>
    <row r="831">
      <c r="F831" s="5"/>
      <c r="G831" s="39"/>
      <c r="H831" s="15"/>
      <c r="I831" s="39"/>
    </row>
    <row r="832">
      <c r="F832" s="5"/>
      <c r="G832" s="39"/>
      <c r="H832" s="15"/>
      <c r="I832" s="39"/>
    </row>
    <row r="833">
      <c r="F833" s="5"/>
      <c r="G833" s="39"/>
      <c r="H833" s="15"/>
      <c r="I833" s="39"/>
    </row>
    <row r="834">
      <c r="F834" s="5"/>
      <c r="G834" s="39"/>
      <c r="H834" s="15"/>
      <c r="I834" s="39"/>
    </row>
    <row r="835">
      <c r="F835" s="5"/>
      <c r="G835" s="39"/>
      <c r="H835" s="15"/>
      <c r="I835" s="39"/>
    </row>
    <row r="836">
      <c r="F836" s="5"/>
      <c r="G836" s="39"/>
      <c r="H836" s="15"/>
      <c r="I836" s="39"/>
    </row>
    <row r="837">
      <c r="F837" s="5"/>
      <c r="G837" s="39"/>
      <c r="H837" s="15"/>
      <c r="I837" s="39"/>
    </row>
    <row r="838">
      <c r="F838" s="5"/>
      <c r="G838" s="39"/>
      <c r="H838" s="15"/>
      <c r="I838" s="39"/>
    </row>
    <row r="839">
      <c r="F839" s="5"/>
      <c r="G839" s="39"/>
      <c r="H839" s="15"/>
      <c r="I839" s="39"/>
    </row>
    <row r="840">
      <c r="F840" s="5"/>
      <c r="G840" s="39"/>
      <c r="H840" s="15"/>
      <c r="I840" s="39"/>
    </row>
    <row r="841">
      <c r="F841" s="5"/>
      <c r="G841" s="39"/>
      <c r="H841" s="15"/>
      <c r="I841" s="39"/>
    </row>
    <row r="842">
      <c r="F842" s="5"/>
      <c r="G842" s="39"/>
      <c r="H842" s="15"/>
      <c r="I842" s="39"/>
    </row>
    <row r="843">
      <c r="F843" s="5"/>
      <c r="G843" s="39"/>
      <c r="H843" s="15"/>
      <c r="I843" s="39"/>
    </row>
    <row r="844">
      <c r="F844" s="5"/>
      <c r="G844" s="39"/>
      <c r="H844" s="15"/>
      <c r="I844" s="39"/>
    </row>
    <row r="845">
      <c r="F845" s="5"/>
      <c r="G845" s="39"/>
      <c r="H845" s="15"/>
      <c r="I845" s="39"/>
    </row>
    <row r="846">
      <c r="F846" s="5"/>
      <c r="G846" s="39"/>
      <c r="H846" s="15"/>
      <c r="I846" s="39"/>
    </row>
    <row r="847">
      <c r="F847" s="5"/>
      <c r="G847" s="39"/>
      <c r="H847" s="15"/>
      <c r="I847" s="39"/>
    </row>
    <row r="848">
      <c r="F848" s="5"/>
      <c r="G848" s="39"/>
      <c r="H848" s="15"/>
      <c r="I848" s="39"/>
    </row>
    <row r="849">
      <c r="F849" s="5"/>
      <c r="G849" s="39"/>
      <c r="H849" s="15"/>
      <c r="I849" s="39"/>
    </row>
    <row r="850">
      <c r="F850" s="5"/>
      <c r="G850" s="39"/>
      <c r="H850" s="15"/>
      <c r="I850" s="39"/>
    </row>
    <row r="851">
      <c r="F851" s="5"/>
      <c r="G851" s="39"/>
      <c r="H851" s="15"/>
      <c r="I851" s="39"/>
    </row>
    <row r="852">
      <c r="F852" s="5"/>
      <c r="G852" s="39"/>
      <c r="H852" s="15"/>
      <c r="I852" s="39"/>
    </row>
    <row r="853">
      <c r="F853" s="5"/>
      <c r="G853" s="39"/>
      <c r="H853" s="15"/>
      <c r="I853" s="39"/>
    </row>
    <row r="854">
      <c r="F854" s="5"/>
      <c r="G854" s="39"/>
      <c r="H854" s="15"/>
      <c r="I854" s="39"/>
    </row>
    <row r="855">
      <c r="F855" s="5"/>
      <c r="G855" s="39"/>
      <c r="H855" s="15"/>
      <c r="I855" s="39"/>
    </row>
    <row r="856">
      <c r="F856" s="5"/>
      <c r="G856" s="39"/>
      <c r="H856" s="15"/>
      <c r="I856" s="39"/>
    </row>
    <row r="857">
      <c r="F857" s="5"/>
      <c r="G857" s="39"/>
      <c r="H857" s="15"/>
      <c r="I857" s="39"/>
    </row>
    <row r="858">
      <c r="F858" s="5"/>
      <c r="G858" s="39"/>
      <c r="H858" s="15"/>
      <c r="I858" s="39"/>
    </row>
    <row r="859">
      <c r="F859" s="5"/>
      <c r="G859" s="39"/>
      <c r="H859" s="15"/>
      <c r="I859" s="39"/>
    </row>
    <row r="860">
      <c r="F860" s="5"/>
      <c r="G860" s="39"/>
      <c r="H860" s="15"/>
      <c r="I860" s="39"/>
    </row>
    <row r="861">
      <c r="F861" s="5"/>
      <c r="G861" s="39"/>
      <c r="H861" s="15"/>
      <c r="I861" s="39"/>
    </row>
    <row r="862">
      <c r="F862" s="5"/>
      <c r="G862" s="39"/>
      <c r="H862" s="15"/>
      <c r="I862" s="39"/>
    </row>
    <row r="863">
      <c r="F863" s="5"/>
      <c r="G863" s="39"/>
      <c r="H863" s="15"/>
      <c r="I863" s="39"/>
    </row>
    <row r="864">
      <c r="F864" s="5"/>
      <c r="G864" s="39"/>
      <c r="H864" s="15"/>
      <c r="I864" s="39"/>
    </row>
    <row r="865">
      <c r="F865" s="5"/>
      <c r="G865" s="39"/>
      <c r="H865" s="15"/>
      <c r="I865" s="39"/>
    </row>
    <row r="866">
      <c r="F866" s="5"/>
      <c r="G866" s="39"/>
      <c r="H866" s="15"/>
      <c r="I866" s="39"/>
    </row>
    <row r="867">
      <c r="F867" s="5"/>
      <c r="G867" s="39"/>
      <c r="H867" s="15"/>
      <c r="I867" s="39"/>
    </row>
    <row r="868">
      <c r="F868" s="5"/>
      <c r="G868" s="39"/>
      <c r="H868" s="15"/>
      <c r="I868" s="39"/>
    </row>
    <row r="869">
      <c r="F869" s="5"/>
      <c r="G869" s="39"/>
      <c r="H869" s="15"/>
      <c r="I869" s="39"/>
    </row>
    <row r="870">
      <c r="F870" s="5"/>
      <c r="G870" s="39"/>
      <c r="H870" s="15"/>
      <c r="I870" s="39"/>
    </row>
    <row r="871">
      <c r="F871" s="5"/>
      <c r="G871" s="39"/>
      <c r="H871" s="15"/>
      <c r="I871" s="39"/>
    </row>
    <row r="872">
      <c r="F872" s="5"/>
      <c r="G872" s="39"/>
      <c r="H872" s="15"/>
      <c r="I872" s="39"/>
    </row>
    <row r="873">
      <c r="F873" s="5"/>
      <c r="G873" s="39"/>
      <c r="H873" s="15"/>
      <c r="I873" s="39"/>
    </row>
    <row r="874">
      <c r="F874" s="5"/>
      <c r="G874" s="39"/>
      <c r="H874" s="15"/>
      <c r="I874" s="39"/>
    </row>
    <row r="875">
      <c r="F875" s="5"/>
      <c r="G875" s="39"/>
      <c r="H875" s="15"/>
      <c r="I875" s="39"/>
    </row>
    <row r="876">
      <c r="F876" s="5"/>
      <c r="G876" s="39"/>
      <c r="H876" s="15"/>
      <c r="I876" s="39"/>
    </row>
    <row r="877">
      <c r="F877" s="5"/>
      <c r="G877" s="39"/>
      <c r="H877" s="15"/>
      <c r="I877" s="39"/>
    </row>
    <row r="878">
      <c r="F878" s="5"/>
      <c r="G878" s="39"/>
      <c r="H878" s="15"/>
      <c r="I878" s="39"/>
    </row>
    <row r="879">
      <c r="F879" s="5"/>
      <c r="G879" s="39"/>
      <c r="H879" s="15"/>
      <c r="I879" s="39"/>
    </row>
    <row r="880">
      <c r="F880" s="5"/>
      <c r="G880" s="39"/>
      <c r="H880" s="15"/>
      <c r="I880" s="39"/>
    </row>
    <row r="881">
      <c r="F881" s="5"/>
      <c r="G881" s="39"/>
      <c r="H881" s="15"/>
      <c r="I881" s="39"/>
    </row>
    <row r="882">
      <c r="F882" s="5"/>
      <c r="G882" s="39"/>
      <c r="H882" s="15"/>
      <c r="I882" s="39"/>
    </row>
    <row r="883">
      <c r="F883" s="5"/>
      <c r="G883" s="39"/>
      <c r="H883" s="15"/>
      <c r="I883" s="39"/>
    </row>
    <row r="884">
      <c r="F884" s="5"/>
      <c r="G884" s="39"/>
      <c r="H884" s="15"/>
      <c r="I884" s="39"/>
    </row>
    <row r="885">
      <c r="F885" s="5"/>
      <c r="G885" s="39"/>
      <c r="H885" s="15"/>
      <c r="I885" s="39"/>
    </row>
    <row r="886">
      <c r="F886" s="5"/>
      <c r="G886" s="39"/>
      <c r="H886" s="15"/>
      <c r="I886" s="39"/>
    </row>
    <row r="887">
      <c r="F887" s="5"/>
      <c r="G887" s="39"/>
      <c r="H887" s="15"/>
      <c r="I887" s="39"/>
    </row>
    <row r="888">
      <c r="F888" s="5"/>
      <c r="G888" s="39"/>
      <c r="H888" s="15"/>
      <c r="I888" s="39"/>
    </row>
    <row r="889">
      <c r="F889" s="5"/>
      <c r="G889" s="39"/>
      <c r="H889" s="15"/>
      <c r="I889" s="39"/>
    </row>
    <row r="890">
      <c r="F890" s="5"/>
      <c r="G890" s="39"/>
      <c r="H890" s="15"/>
      <c r="I890" s="39"/>
    </row>
    <row r="891">
      <c r="F891" s="5"/>
      <c r="G891" s="39"/>
      <c r="H891" s="15"/>
      <c r="I891" s="39"/>
    </row>
    <row r="892">
      <c r="F892" s="5"/>
      <c r="G892" s="39"/>
      <c r="H892" s="15"/>
      <c r="I892" s="39"/>
    </row>
    <row r="893">
      <c r="F893" s="5"/>
      <c r="G893" s="39"/>
      <c r="H893" s="15"/>
      <c r="I893" s="39"/>
    </row>
    <row r="894">
      <c r="F894" s="5"/>
      <c r="G894" s="39"/>
      <c r="H894" s="15"/>
      <c r="I894" s="39"/>
    </row>
    <row r="895">
      <c r="F895" s="5"/>
      <c r="G895" s="39"/>
      <c r="H895" s="15"/>
      <c r="I895" s="39"/>
    </row>
    <row r="896">
      <c r="F896" s="5"/>
      <c r="G896" s="39"/>
      <c r="H896" s="15"/>
      <c r="I896" s="39"/>
    </row>
    <row r="897">
      <c r="F897" s="5"/>
      <c r="G897" s="39"/>
      <c r="H897" s="15"/>
      <c r="I897" s="39"/>
    </row>
    <row r="898">
      <c r="F898" s="5"/>
      <c r="G898" s="39"/>
      <c r="H898" s="15"/>
      <c r="I898" s="39"/>
    </row>
    <row r="899">
      <c r="F899" s="5"/>
      <c r="G899" s="39"/>
      <c r="H899" s="15"/>
      <c r="I899" s="39"/>
    </row>
    <row r="900">
      <c r="F900" s="5"/>
      <c r="G900" s="39"/>
      <c r="H900" s="15"/>
      <c r="I900" s="39"/>
    </row>
    <row r="901">
      <c r="F901" s="5"/>
      <c r="G901" s="39"/>
      <c r="H901" s="15"/>
      <c r="I901" s="39"/>
    </row>
    <row r="902">
      <c r="F902" s="5"/>
      <c r="G902" s="39"/>
      <c r="H902" s="15"/>
      <c r="I902" s="39"/>
    </row>
    <row r="903">
      <c r="F903" s="5"/>
      <c r="G903" s="39"/>
      <c r="H903" s="15"/>
      <c r="I903" s="39"/>
    </row>
    <row r="904">
      <c r="F904" s="5"/>
      <c r="G904" s="39"/>
      <c r="H904" s="15"/>
      <c r="I904" s="39"/>
    </row>
    <row r="905">
      <c r="F905" s="5"/>
      <c r="G905" s="39"/>
      <c r="H905" s="15"/>
      <c r="I905" s="39"/>
    </row>
    <row r="906">
      <c r="F906" s="5"/>
      <c r="G906" s="39"/>
      <c r="H906" s="15"/>
      <c r="I906" s="39"/>
    </row>
    <row r="907">
      <c r="F907" s="5"/>
      <c r="G907" s="39"/>
      <c r="H907" s="15"/>
      <c r="I907" s="39"/>
    </row>
    <row r="908">
      <c r="F908" s="5"/>
      <c r="G908" s="39"/>
      <c r="H908" s="15"/>
      <c r="I908" s="39"/>
    </row>
    <row r="909">
      <c r="F909" s="5"/>
      <c r="G909" s="39"/>
      <c r="H909" s="15"/>
      <c r="I909" s="39"/>
    </row>
    <row r="910">
      <c r="F910" s="5"/>
      <c r="G910" s="39"/>
      <c r="H910" s="15"/>
      <c r="I910" s="39"/>
    </row>
    <row r="911">
      <c r="F911" s="5"/>
      <c r="G911" s="39"/>
      <c r="H911" s="15"/>
      <c r="I911" s="39"/>
    </row>
    <row r="912">
      <c r="F912" s="5"/>
      <c r="G912" s="39"/>
      <c r="H912" s="15"/>
      <c r="I912" s="39"/>
    </row>
    <row r="913">
      <c r="F913" s="5"/>
      <c r="G913" s="39"/>
      <c r="H913" s="15"/>
      <c r="I913" s="39"/>
    </row>
    <row r="914">
      <c r="F914" s="5"/>
      <c r="G914" s="39"/>
      <c r="H914" s="15"/>
      <c r="I914" s="39"/>
    </row>
    <row r="915">
      <c r="F915" s="5"/>
      <c r="G915" s="39"/>
      <c r="H915" s="15"/>
      <c r="I915" s="39"/>
    </row>
    <row r="916">
      <c r="F916" s="5"/>
      <c r="G916" s="39"/>
      <c r="H916" s="15"/>
      <c r="I916" s="39"/>
    </row>
    <row r="917">
      <c r="F917" s="5"/>
      <c r="G917" s="39"/>
      <c r="H917" s="15"/>
      <c r="I917" s="39"/>
    </row>
    <row r="918">
      <c r="F918" s="5"/>
      <c r="G918" s="39"/>
      <c r="H918" s="15"/>
      <c r="I918" s="39"/>
    </row>
    <row r="919">
      <c r="F919" s="5"/>
      <c r="G919" s="39"/>
      <c r="H919" s="15"/>
      <c r="I919" s="39"/>
    </row>
    <row r="920">
      <c r="F920" s="5"/>
      <c r="G920" s="39"/>
      <c r="H920" s="15"/>
      <c r="I920" s="39"/>
    </row>
    <row r="921">
      <c r="F921" s="5"/>
      <c r="G921" s="39"/>
      <c r="H921" s="15"/>
      <c r="I921" s="39"/>
    </row>
    <row r="922">
      <c r="F922" s="5"/>
      <c r="G922" s="39"/>
      <c r="H922" s="15"/>
      <c r="I922" s="39"/>
    </row>
    <row r="923">
      <c r="F923" s="5"/>
      <c r="G923" s="39"/>
      <c r="H923" s="15"/>
      <c r="I923" s="39"/>
    </row>
    <row r="924">
      <c r="F924" s="5"/>
      <c r="G924" s="39"/>
      <c r="H924" s="15"/>
      <c r="I924" s="39"/>
    </row>
    <row r="925">
      <c r="F925" s="5"/>
      <c r="G925" s="39"/>
      <c r="H925" s="15"/>
      <c r="I925" s="39"/>
    </row>
    <row r="926">
      <c r="F926" s="5"/>
      <c r="G926" s="39"/>
      <c r="H926" s="15"/>
      <c r="I926" s="39"/>
    </row>
    <row r="927">
      <c r="F927" s="5"/>
      <c r="G927" s="39"/>
      <c r="H927" s="15"/>
      <c r="I927" s="39"/>
    </row>
    <row r="928">
      <c r="F928" s="5"/>
      <c r="G928" s="39"/>
      <c r="H928" s="15"/>
      <c r="I928" s="39"/>
    </row>
    <row r="929">
      <c r="F929" s="5"/>
      <c r="G929" s="39"/>
      <c r="H929" s="15"/>
      <c r="I929" s="39"/>
    </row>
    <row r="930">
      <c r="F930" s="5"/>
      <c r="G930" s="39"/>
      <c r="H930" s="15"/>
      <c r="I930" s="39"/>
    </row>
    <row r="931">
      <c r="F931" s="5"/>
      <c r="G931" s="39"/>
      <c r="H931" s="15"/>
      <c r="I931" s="39"/>
    </row>
    <row r="932">
      <c r="F932" s="5"/>
      <c r="G932" s="39"/>
      <c r="H932" s="15"/>
      <c r="I932" s="39"/>
    </row>
    <row r="933">
      <c r="F933" s="5"/>
      <c r="G933" s="39"/>
      <c r="H933" s="15"/>
      <c r="I933" s="39"/>
    </row>
    <row r="934">
      <c r="F934" s="5"/>
      <c r="G934" s="39"/>
      <c r="H934" s="15"/>
      <c r="I934" s="39"/>
    </row>
    <row r="935">
      <c r="F935" s="5"/>
      <c r="G935" s="39"/>
      <c r="H935" s="15"/>
      <c r="I935" s="39"/>
    </row>
    <row r="936">
      <c r="F936" s="5"/>
      <c r="G936" s="39"/>
      <c r="H936" s="15"/>
      <c r="I936" s="39"/>
    </row>
    <row r="937">
      <c r="F937" s="5"/>
      <c r="G937" s="39"/>
      <c r="H937" s="15"/>
      <c r="I937" s="39"/>
    </row>
    <row r="938">
      <c r="F938" s="5"/>
      <c r="G938" s="39"/>
      <c r="H938" s="15"/>
      <c r="I938" s="39"/>
    </row>
    <row r="939">
      <c r="F939" s="5"/>
      <c r="G939" s="39"/>
      <c r="H939" s="15"/>
      <c r="I939" s="39"/>
    </row>
    <row r="940">
      <c r="F940" s="5"/>
      <c r="G940" s="39"/>
      <c r="H940" s="15"/>
      <c r="I940" s="39"/>
    </row>
    <row r="941">
      <c r="F941" s="5"/>
      <c r="G941" s="39"/>
      <c r="H941" s="15"/>
      <c r="I941" s="39"/>
    </row>
    <row r="942">
      <c r="F942" s="5"/>
      <c r="G942" s="39"/>
      <c r="H942" s="15"/>
      <c r="I942" s="39"/>
    </row>
    <row r="943">
      <c r="F943" s="5"/>
      <c r="G943" s="39"/>
      <c r="H943" s="15"/>
      <c r="I943" s="39"/>
    </row>
    <row r="944">
      <c r="F944" s="5"/>
      <c r="G944" s="39"/>
      <c r="H944" s="15"/>
      <c r="I944" s="39"/>
    </row>
    <row r="945">
      <c r="F945" s="5"/>
      <c r="G945" s="39"/>
      <c r="H945" s="15"/>
      <c r="I945" s="39"/>
    </row>
    <row r="946">
      <c r="F946" s="5"/>
      <c r="G946" s="39"/>
      <c r="H946" s="15"/>
      <c r="I946" s="39"/>
    </row>
    <row r="947">
      <c r="F947" s="5"/>
      <c r="G947" s="39"/>
      <c r="H947" s="15"/>
      <c r="I947" s="39"/>
    </row>
    <row r="948">
      <c r="F948" s="5"/>
      <c r="G948" s="39"/>
      <c r="H948" s="15"/>
      <c r="I948" s="39"/>
    </row>
    <row r="949">
      <c r="F949" s="5"/>
      <c r="G949" s="39"/>
      <c r="H949" s="15"/>
      <c r="I949" s="39"/>
    </row>
    <row r="950">
      <c r="F950" s="5"/>
      <c r="G950" s="39"/>
      <c r="H950" s="15"/>
      <c r="I950" s="39"/>
    </row>
    <row r="951">
      <c r="F951" s="5"/>
      <c r="G951" s="39"/>
      <c r="H951" s="15"/>
      <c r="I951" s="39"/>
    </row>
    <row r="952">
      <c r="F952" s="5"/>
      <c r="G952" s="39"/>
      <c r="H952" s="15"/>
      <c r="I952" s="39"/>
    </row>
    <row r="953">
      <c r="F953" s="5"/>
      <c r="G953" s="39"/>
      <c r="H953" s="15"/>
      <c r="I953" s="39"/>
    </row>
    <row r="954">
      <c r="F954" s="5"/>
      <c r="G954" s="39"/>
      <c r="H954" s="15"/>
      <c r="I954" s="39"/>
    </row>
    <row r="955">
      <c r="F955" s="5"/>
      <c r="G955" s="39"/>
      <c r="H955" s="15"/>
      <c r="I955" s="39"/>
    </row>
    <row r="956">
      <c r="F956" s="5"/>
      <c r="G956" s="39"/>
      <c r="H956" s="15"/>
      <c r="I956" s="39"/>
    </row>
    <row r="957">
      <c r="F957" s="5"/>
      <c r="G957" s="39"/>
      <c r="H957" s="15"/>
      <c r="I957" s="39"/>
    </row>
    <row r="958">
      <c r="F958" s="5"/>
      <c r="G958" s="39"/>
      <c r="H958" s="15"/>
      <c r="I958" s="39"/>
    </row>
    <row r="959">
      <c r="F959" s="5"/>
      <c r="G959" s="39"/>
      <c r="H959" s="15"/>
      <c r="I959" s="39"/>
    </row>
    <row r="960">
      <c r="F960" s="5"/>
      <c r="G960" s="39"/>
      <c r="H960" s="15"/>
      <c r="I960" s="39"/>
    </row>
    <row r="961">
      <c r="F961" s="5"/>
      <c r="G961" s="39"/>
      <c r="H961" s="15"/>
      <c r="I961" s="39"/>
    </row>
    <row r="962">
      <c r="F962" s="5"/>
      <c r="G962" s="39"/>
      <c r="H962" s="15"/>
      <c r="I962" s="39"/>
    </row>
    <row r="963">
      <c r="F963" s="5"/>
      <c r="G963" s="39"/>
      <c r="H963" s="15"/>
      <c r="I963" s="39"/>
    </row>
    <row r="964">
      <c r="F964" s="5"/>
      <c r="G964" s="39"/>
      <c r="H964" s="15"/>
      <c r="I964" s="39"/>
    </row>
    <row r="965">
      <c r="F965" s="5"/>
      <c r="G965" s="39"/>
      <c r="H965" s="15"/>
      <c r="I965" s="39"/>
    </row>
    <row r="966">
      <c r="F966" s="5"/>
      <c r="G966" s="39"/>
      <c r="H966" s="15"/>
      <c r="I966" s="39"/>
    </row>
    <row r="967">
      <c r="F967" s="5"/>
      <c r="G967" s="39"/>
      <c r="H967" s="15"/>
      <c r="I967" s="39"/>
    </row>
    <row r="968">
      <c r="F968" s="5"/>
      <c r="G968" s="39"/>
      <c r="H968" s="15"/>
      <c r="I968" s="39"/>
    </row>
    <row r="969">
      <c r="F969" s="5"/>
      <c r="G969" s="39"/>
      <c r="H969" s="15"/>
      <c r="I969" s="39"/>
    </row>
    <row r="970">
      <c r="F970" s="5"/>
      <c r="G970" s="39"/>
      <c r="H970" s="15"/>
      <c r="I970" s="39"/>
    </row>
    <row r="971">
      <c r="F971" s="5"/>
      <c r="G971" s="39"/>
      <c r="H971" s="15"/>
      <c r="I971" s="39"/>
    </row>
    <row r="972">
      <c r="F972" s="5"/>
      <c r="G972" s="39"/>
      <c r="H972" s="15"/>
      <c r="I972" s="39"/>
    </row>
    <row r="973">
      <c r="F973" s="5"/>
      <c r="G973" s="39"/>
      <c r="H973" s="15"/>
      <c r="I973" s="39"/>
    </row>
    <row r="974">
      <c r="F974" s="5"/>
      <c r="G974" s="39"/>
      <c r="H974" s="15"/>
      <c r="I974" s="39"/>
    </row>
    <row r="975">
      <c r="F975" s="5"/>
      <c r="G975" s="39"/>
      <c r="H975" s="15"/>
      <c r="I975" s="39"/>
    </row>
    <row r="976">
      <c r="F976" s="5"/>
      <c r="G976" s="39"/>
      <c r="H976" s="15"/>
      <c r="I976" s="39"/>
    </row>
    <row r="977">
      <c r="F977" s="5"/>
      <c r="G977" s="39"/>
      <c r="H977" s="15"/>
      <c r="I977" s="39"/>
    </row>
    <row r="978">
      <c r="F978" s="5"/>
      <c r="G978" s="39"/>
      <c r="H978" s="15"/>
      <c r="I978" s="39"/>
    </row>
    <row r="979">
      <c r="F979" s="5"/>
      <c r="G979" s="39"/>
      <c r="H979" s="15"/>
      <c r="I979" s="39"/>
    </row>
    <row r="980">
      <c r="F980" s="5"/>
      <c r="G980" s="39"/>
      <c r="H980" s="15"/>
      <c r="I980" s="39"/>
    </row>
    <row r="981">
      <c r="F981" s="5"/>
      <c r="G981" s="39"/>
      <c r="H981" s="15"/>
      <c r="I981" s="39"/>
    </row>
    <row r="982">
      <c r="F982" s="5"/>
      <c r="G982" s="39"/>
      <c r="H982" s="15"/>
      <c r="I982" s="39"/>
    </row>
    <row r="983">
      <c r="F983" s="5"/>
      <c r="G983" s="39"/>
      <c r="H983" s="15"/>
      <c r="I983" s="39"/>
    </row>
    <row r="984">
      <c r="F984" s="5"/>
      <c r="G984" s="39"/>
      <c r="H984" s="15"/>
      <c r="I984" s="39"/>
    </row>
    <row r="985">
      <c r="F985" s="5"/>
      <c r="G985" s="39"/>
      <c r="H985" s="15"/>
      <c r="I985" s="39"/>
    </row>
    <row r="986">
      <c r="F986" s="5"/>
      <c r="G986" s="39"/>
      <c r="H986" s="15"/>
      <c r="I986" s="39"/>
    </row>
    <row r="987">
      <c r="F987" s="5"/>
      <c r="G987" s="39"/>
      <c r="H987" s="15"/>
      <c r="I987" s="39"/>
    </row>
    <row r="988">
      <c r="F988" s="5"/>
      <c r="G988" s="39"/>
      <c r="H988" s="15"/>
      <c r="I988" s="39"/>
    </row>
    <row r="989">
      <c r="F989" s="5"/>
      <c r="G989" s="39"/>
      <c r="H989" s="15"/>
      <c r="I989" s="39"/>
    </row>
    <row r="990">
      <c r="F990" s="5"/>
      <c r="G990" s="39"/>
      <c r="H990" s="15"/>
      <c r="I990" s="39"/>
    </row>
    <row r="991">
      <c r="F991" s="5"/>
      <c r="G991" s="39"/>
      <c r="H991" s="15"/>
      <c r="I991" s="39"/>
    </row>
    <row r="992">
      <c r="F992" s="5"/>
      <c r="G992" s="39"/>
      <c r="H992" s="15"/>
      <c r="I992" s="39"/>
    </row>
    <row r="993">
      <c r="F993" s="5"/>
      <c r="G993" s="39"/>
      <c r="H993" s="15"/>
      <c r="I993" s="39"/>
    </row>
    <row r="994">
      <c r="F994" s="5"/>
      <c r="G994" s="39"/>
      <c r="H994" s="15"/>
      <c r="I994" s="39"/>
    </row>
    <row r="995">
      <c r="F995" s="5"/>
      <c r="G995" s="39"/>
      <c r="H995" s="15"/>
      <c r="I995" s="39"/>
    </row>
    <row r="996">
      <c r="F996" s="5"/>
      <c r="G996" s="39"/>
      <c r="H996" s="15"/>
      <c r="I996" s="39"/>
    </row>
    <row r="997">
      <c r="F997" s="5"/>
      <c r="G997" s="39"/>
      <c r="H997" s="15"/>
      <c r="I997" s="39"/>
    </row>
    <row r="998">
      <c r="F998" s="5"/>
      <c r="G998" s="39"/>
      <c r="H998" s="15"/>
      <c r="I998" s="39"/>
    </row>
    <row r="999">
      <c r="F999" s="5"/>
      <c r="G999" s="39"/>
      <c r="H999" s="15"/>
      <c r="I999" s="39"/>
    </row>
    <row r="1000">
      <c r="F1000" s="5"/>
      <c r="G1000" s="39"/>
      <c r="H1000" s="15"/>
      <c r="I1000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42" t="s">
        <v>49</v>
      </c>
      <c r="F1" s="14"/>
      <c r="G1" s="39"/>
      <c r="H1" s="15"/>
      <c r="I1" s="39"/>
    </row>
    <row r="2">
      <c r="A2" s="43" t="s">
        <v>30</v>
      </c>
      <c r="B2" s="43" t="s">
        <v>1</v>
      </c>
      <c r="C2" s="43" t="s">
        <v>2</v>
      </c>
      <c r="D2" s="43" t="s">
        <v>3</v>
      </c>
      <c r="E2" s="44" t="s">
        <v>4</v>
      </c>
      <c r="F2" s="45" t="s">
        <v>31</v>
      </c>
      <c r="G2" s="46" t="s">
        <v>32</v>
      </c>
      <c r="H2" s="47" t="s">
        <v>17</v>
      </c>
      <c r="I2" s="46" t="s">
        <v>11</v>
      </c>
      <c r="K2" s="48" t="s">
        <v>30</v>
      </c>
      <c r="L2" s="49" t="s">
        <v>50</v>
      </c>
      <c r="M2" s="38" t="s">
        <v>51</v>
      </c>
      <c r="N2" s="50" t="s">
        <v>52</v>
      </c>
      <c r="O2" s="38" t="s">
        <v>50</v>
      </c>
      <c r="P2" s="38" t="s">
        <v>51</v>
      </c>
      <c r="Q2" s="51" t="s">
        <v>52</v>
      </c>
      <c r="R2" s="38" t="s">
        <v>50</v>
      </c>
      <c r="S2" s="50" t="s">
        <v>51</v>
      </c>
      <c r="T2" s="38" t="s">
        <v>52</v>
      </c>
      <c r="U2" s="37" t="s">
        <v>50</v>
      </c>
      <c r="V2" s="38" t="s">
        <v>51</v>
      </c>
      <c r="W2" s="38" t="s">
        <v>52</v>
      </c>
    </row>
    <row r="3">
      <c r="A3" s="52" t="s">
        <v>35</v>
      </c>
      <c r="B3" s="53">
        <v>2842.0</v>
      </c>
      <c r="C3" s="53">
        <v>3593.0</v>
      </c>
      <c r="D3" s="53">
        <v>1.8866045E7</v>
      </c>
      <c r="E3" s="54">
        <v>9389215.0</v>
      </c>
      <c r="F3" s="55">
        <f t="shared" ref="F3:F16" si="2">B3/$B$3</f>
        <v>1</v>
      </c>
      <c r="G3" s="56">
        <f t="shared" ref="G3:G16" si="3">D3/B3</f>
        <v>6638.298733</v>
      </c>
      <c r="H3" s="57">
        <f t="shared" ref="H3:I3" si="1">C3/B3</f>
        <v>1.264250528</v>
      </c>
      <c r="I3" s="56">
        <f t="shared" si="1"/>
        <v>5250.777901</v>
      </c>
      <c r="K3" s="38" t="s">
        <v>35</v>
      </c>
      <c r="L3" s="58">
        <f t="shared" ref="L3:L16" si="5">F3</f>
        <v>1</v>
      </c>
      <c r="M3" s="59"/>
      <c r="N3" s="59"/>
      <c r="O3" s="60">
        <f t="shared" ref="O3:O16" si="6">G3</f>
        <v>6638.298733</v>
      </c>
      <c r="P3" s="59"/>
      <c r="Q3" s="59"/>
      <c r="R3" s="61">
        <f t="shared" ref="R3:R16" si="7">H3</f>
        <v>1.264250528</v>
      </c>
      <c r="S3" s="59"/>
      <c r="T3" s="59"/>
      <c r="U3" s="60">
        <f t="shared" ref="U3:U16" si="8">I3</f>
        <v>5250.777901</v>
      </c>
      <c r="V3" s="59"/>
      <c r="W3" s="59"/>
    </row>
    <row r="4">
      <c r="A4" s="52" t="s">
        <v>36</v>
      </c>
      <c r="B4" s="53">
        <v>529.0</v>
      </c>
      <c r="C4" s="53">
        <v>818.0</v>
      </c>
      <c r="D4" s="53">
        <v>4377010.0</v>
      </c>
      <c r="E4" s="54">
        <v>2173325.0</v>
      </c>
      <c r="F4" s="55">
        <f t="shared" si="2"/>
        <v>0.1861365236</v>
      </c>
      <c r="G4" s="56">
        <f t="shared" si="3"/>
        <v>8274.120983</v>
      </c>
      <c r="H4" s="57">
        <f t="shared" ref="H4:I4" si="4">C4/B4</f>
        <v>1.5463138</v>
      </c>
      <c r="I4" s="56">
        <f t="shared" si="4"/>
        <v>5350.867971</v>
      </c>
      <c r="K4" s="38" t="s">
        <v>36</v>
      </c>
      <c r="L4" s="58">
        <f t="shared" si="5"/>
        <v>0.1861365236</v>
      </c>
      <c r="M4" s="58">
        <f t="shared" ref="M4:M16" si="10">F22</f>
        <v>1</v>
      </c>
      <c r="N4" s="59"/>
      <c r="O4" s="60">
        <f t="shared" si="6"/>
        <v>8274.120983</v>
      </c>
      <c r="P4" s="60">
        <f t="shared" ref="P4:P16" si="11">G22</f>
        <v>8248.009252</v>
      </c>
      <c r="Q4" s="59"/>
      <c r="R4" s="61">
        <f t="shared" si="7"/>
        <v>1.5463138</v>
      </c>
      <c r="S4" s="61">
        <f t="shared" ref="S4:S16" si="12">H22</f>
        <v>1.295244279</v>
      </c>
      <c r="T4" s="59"/>
      <c r="U4" s="60">
        <f t="shared" si="8"/>
        <v>5350.867971</v>
      </c>
      <c r="V4" s="60">
        <f t="shared" ref="V4:V16" si="13">I22</f>
        <v>6367.91792</v>
      </c>
      <c r="W4" s="59"/>
    </row>
    <row r="5">
      <c r="A5" s="52" t="s">
        <v>37</v>
      </c>
      <c r="B5" s="53">
        <v>237.0</v>
      </c>
      <c r="C5" s="53">
        <v>325.0</v>
      </c>
      <c r="D5" s="53">
        <v>1908940.0</v>
      </c>
      <c r="E5" s="54">
        <v>942755.0</v>
      </c>
      <c r="F5" s="55">
        <f t="shared" si="2"/>
        <v>0.08339197748</v>
      </c>
      <c r="G5" s="56">
        <f t="shared" si="3"/>
        <v>8054.599156</v>
      </c>
      <c r="H5" s="57">
        <f t="shared" ref="H5:I5" si="9">C5/B5</f>
        <v>1.371308017</v>
      </c>
      <c r="I5" s="56">
        <f t="shared" si="9"/>
        <v>5873.661538</v>
      </c>
      <c r="K5" s="38" t="s">
        <v>37</v>
      </c>
      <c r="L5" s="58">
        <f t="shared" si="5"/>
        <v>0.08339197748</v>
      </c>
      <c r="M5" s="58">
        <f t="shared" si="10"/>
        <v>0.1004707028</v>
      </c>
      <c r="N5" s="59"/>
      <c r="O5" s="60">
        <f t="shared" si="6"/>
        <v>8054.599156</v>
      </c>
      <c r="P5" s="60">
        <f t="shared" si="11"/>
        <v>8717.988691</v>
      </c>
      <c r="Q5" s="59"/>
      <c r="R5" s="61">
        <f t="shared" si="7"/>
        <v>1.371308017</v>
      </c>
      <c r="S5" s="61">
        <f t="shared" si="12"/>
        <v>1.516962843</v>
      </c>
      <c r="T5" s="59"/>
      <c r="U5" s="60">
        <f t="shared" si="8"/>
        <v>5873.661538</v>
      </c>
      <c r="V5" s="60">
        <f t="shared" si="13"/>
        <v>5747.00213</v>
      </c>
      <c r="W5" s="59"/>
    </row>
    <row r="6">
      <c r="A6" s="52" t="s">
        <v>38</v>
      </c>
      <c r="B6" s="53">
        <v>318.0</v>
      </c>
      <c r="C6" s="53">
        <v>467.0</v>
      </c>
      <c r="D6" s="53">
        <v>2357300.0</v>
      </c>
      <c r="E6" s="54">
        <v>1154450.0</v>
      </c>
      <c r="F6" s="55">
        <f t="shared" si="2"/>
        <v>0.1118930331</v>
      </c>
      <c r="G6" s="56">
        <f t="shared" si="3"/>
        <v>7412.893082</v>
      </c>
      <c r="H6" s="57">
        <f t="shared" ref="H6:I6" si="14">C6/B6</f>
        <v>1.468553459</v>
      </c>
      <c r="I6" s="56">
        <f t="shared" si="14"/>
        <v>5047.751606</v>
      </c>
      <c r="K6" s="38" t="s">
        <v>38</v>
      </c>
      <c r="L6" s="58">
        <f t="shared" si="5"/>
        <v>0.1118930331</v>
      </c>
      <c r="M6" s="58">
        <f t="shared" si="10"/>
        <v>0.08862197695</v>
      </c>
      <c r="N6" s="59"/>
      <c r="O6" s="60">
        <f t="shared" si="6"/>
        <v>7412.893082</v>
      </c>
      <c r="P6" s="60">
        <f t="shared" si="11"/>
        <v>7352.57326</v>
      </c>
      <c r="Q6" s="59"/>
      <c r="R6" s="61">
        <f t="shared" si="7"/>
        <v>1.468553459</v>
      </c>
      <c r="S6" s="61">
        <f t="shared" si="12"/>
        <v>1.565934066</v>
      </c>
      <c r="T6" s="59"/>
      <c r="U6" s="60">
        <f t="shared" si="8"/>
        <v>5047.751606</v>
      </c>
      <c r="V6" s="60">
        <f t="shared" si="13"/>
        <v>4695.327485</v>
      </c>
      <c r="W6" s="59"/>
    </row>
    <row r="7">
      <c r="A7" s="52" t="s">
        <v>39</v>
      </c>
      <c r="B7" s="53">
        <v>317.0</v>
      </c>
      <c r="C7" s="53">
        <v>468.0</v>
      </c>
      <c r="D7" s="53">
        <v>2213530.0</v>
      </c>
      <c r="E7" s="54">
        <v>1063370.0</v>
      </c>
      <c r="F7" s="55">
        <f t="shared" si="2"/>
        <v>0.1115411682</v>
      </c>
      <c r="G7" s="56">
        <f t="shared" si="3"/>
        <v>6982.744479</v>
      </c>
      <c r="H7" s="57">
        <f t="shared" ref="H7:I7" si="15">C7/B7</f>
        <v>1.476340694</v>
      </c>
      <c r="I7" s="56">
        <f t="shared" si="15"/>
        <v>4729.764957</v>
      </c>
      <c r="K7" s="38" t="s">
        <v>39</v>
      </c>
      <c r="L7" s="58">
        <f t="shared" si="5"/>
        <v>0.1115411682</v>
      </c>
      <c r="M7" s="58">
        <f t="shared" si="10"/>
        <v>0.07320240221</v>
      </c>
      <c r="N7" s="59"/>
      <c r="O7" s="60">
        <f t="shared" si="6"/>
        <v>6982.744479</v>
      </c>
      <c r="P7" s="60">
        <f t="shared" si="11"/>
        <v>7795.853659</v>
      </c>
      <c r="Q7" s="59"/>
      <c r="R7" s="61">
        <f t="shared" si="7"/>
        <v>1.476340694</v>
      </c>
      <c r="S7" s="61">
        <f t="shared" si="12"/>
        <v>1.543237251</v>
      </c>
      <c r="T7" s="59"/>
      <c r="U7" s="60">
        <f t="shared" si="8"/>
        <v>4729.764957</v>
      </c>
      <c r="V7" s="60">
        <f t="shared" si="13"/>
        <v>5051.623563</v>
      </c>
      <c r="W7" s="59"/>
    </row>
    <row r="8">
      <c r="A8" s="52" t="s">
        <v>40</v>
      </c>
      <c r="B8" s="53">
        <v>366.0</v>
      </c>
      <c r="C8" s="53">
        <v>615.0</v>
      </c>
      <c r="D8" s="53">
        <v>3017685.0</v>
      </c>
      <c r="E8" s="54">
        <v>1435610.0</v>
      </c>
      <c r="F8" s="55">
        <f t="shared" si="2"/>
        <v>0.1287825475</v>
      </c>
      <c r="G8" s="56">
        <f t="shared" si="3"/>
        <v>8245.040984</v>
      </c>
      <c r="H8" s="57">
        <f t="shared" ref="H8:I8" si="16">C8/B8</f>
        <v>1.680327869</v>
      </c>
      <c r="I8" s="56">
        <f t="shared" si="16"/>
        <v>4906.804878</v>
      </c>
      <c r="K8" s="38" t="s">
        <v>40</v>
      </c>
      <c r="L8" s="58">
        <f t="shared" si="5"/>
        <v>0.1287825475</v>
      </c>
      <c r="M8" s="58">
        <f t="shared" si="10"/>
        <v>0.152410323</v>
      </c>
      <c r="N8" s="58">
        <f t="shared" ref="N8:N16" si="18">F44</f>
        <v>1</v>
      </c>
      <c r="O8" s="60">
        <f t="shared" si="6"/>
        <v>8245.040984</v>
      </c>
      <c r="P8" s="60">
        <f t="shared" si="11"/>
        <v>9322.880724</v>
      </c>
      <c r="Q8" s="60">
        <f t="shared" ref="Q8:Q16" si="19">G44</f>
        <v>7837.083829</v>
      </c>
      <c r="R8" s="61">
        <f t="shared" si="7"/>
        <v>1.680327869</v>
      </c>
      <c r="S8" s="61">
        <f t="shared" si="12"/>
        <v>1.681576145</v>
      </c>
      <c r="T8" s="61">
        <f t="shared" ref="T8:T16" si="20">H44</f>
        <v>1.300969223</v>
      </c>
      <c r="U8" s="60">
        <f t="shared" si="8"/>
        <v>4906.804878</v>
      </c>
      <c r="V8" s="60">
        <f t="shared" si="13"/>
        <v>5544.132362</v>
      </c>
      <c r="W8" s="60">
        <f t="shared" ref="W8:W16" si="21">I44</f>
        <v>6024.034767</v>
      </c>
    </row>
    <row r="9">
      <c r="A9" s="52" t="s">
        <v>41</v>
      </c>
      <c r="B9" s="53">
        <v>234.0</v>
      </c>
      <c r="C9" s="53">
        <v>339.0</v>
      </c>
      <c r="D9" s="53">
        <v>1575365.0</v>
      </c>
      <c r="E9" s="54">
        <v>740795.0</v>
      </c>
      <c r="F9" s="55">
        <f t="shared" si="2"/>
        <v>0.08233638283</v>
      </c>
      <c r="G9" s="56">
        <f t="shared" si="3"/>
        <v>6732.32906</v>
      </c>
      <c r="H9" s="57">
        <f t="shared" ref="H9:I9" si="17">C9/B9</f>
        <v>1.448717949</v>
      </c>
      <c r="I9" s="56">
        <f t="shared" si="17"/>
        <v>4647.094395</v>
      </c>
      <c r="K9" s="38" t="s">
        <v>41</v>
      </c>
      <c r="L9" s="58">
        <f t="shared" si="5"/>
        <v>0.08233638283</v>
      </c>
      <c r="M9" s="58">
        <f t="shared" si="10"/>
        <v>0.06784612888</v>
      </c>
      <c r="N9" s="58">
        <f t="shared" si="18"/>
        <v>0.1173269852</v>
      </c>
      <c r="O9" s="60">
        <f t="shared" si="6"/>
        <v>6732.32906</v>
      </c>
      <c r="P9" s="60">
        <f t="shared" si="11"/>
        <v>8205.789474</v>
      </c>
      <c r="Q9" s="60">
        <f t="shared" si="19"/>
        <v>8017.166667</v>
      </c>
      <c r="R9" s="61">
        <f t="shared" si="7"/>
        <v>1.448717949</v>
      </c>
      <c r="S9" s="61">
        <f t="shared" si="12"/>
        <v>1.64354067</v>
      </c>
      <c r="T9" s="61">
        <f t="shared" si="20"/>
        <v>1.465217391</v>
      </c>
      <c r="U9" s="60">
        <f t="shared" si="8"/>
        <v>4647.094395</v>
      </c>
      <c r="V9" s="60">
        <f t="shared" si="13"/>
        <v>4992.751092</v>
      </c>
      <c r="W9" s="60">
        <f t="shared" si="21"/>
        <v>5471.656775</v>
      </c>
    </row>
    <row r="10">
      <c r="A10" s="52" t="s">
        <v>42</v>
      </c>
      <c r="B10" s="53">
        <v>254.0</v>
      </c>
      <c r="C10" s="53">
        <v>408.0</v>
      </c>
      <c r="D10" s="53">
        <v>1804770.0</v>
      </c>
      <c r="E10" s="54">
        <v>868560.0</v>
      </c>
      <c r="F10" s="55">
        <f t="shared" si="2"/>
        <v>0.08937368051</v>
      </c>
      <c r="G10" s="56">
        <f t="shared" si="3"/>
        <v>7105.393701</v>
      </c>
      <c r="H10" s="57">
        <f t="shared" ref="H10:I10" si="22">C10/B10</f>
        <v>1.606299213</v>
      </c>
      <c r="I10" s="56">
        <f t="shared" si="22"/>
        <v>4423.455882</v>
      </c>
      <c r="K10" s="38" t="s">
        <v>42</v>
      </c>
      <c r="L10" s="58">
        <f t="shared" si="5"/>
        <v>0.08937368051</v>
      </c>
      <c r="M10" s="58">
        <f t="shared" si="10"/>
        <v>0.07174160039</v>
      </c>
      <c r="N10" s="58">
        <f t="shared" si="18"/>
        <v>0.08042849855</v>
      </c>
      <c r="O10" s="60">
        <f t="shared" si="6"/>
        <v>7105.393701</v>
      </c>
      <c r="P10" s="60">
        <f t="shared" si="11"/>
        <v>7636.78733</v>
      </c>
      <c r="Q10" s="60">
        <f t="shared" si="19"/>
        <v>7550.465116</v>
      </c>
      <c r="R10" s="61">
        <f t="shared" si="7"/>
        <v>1.606299213</v>
      </c>
      <c r="S10" s="61">
        <f t="shared" si="12"/>
        <v>1.669683258</v>
      </c>
      <c r="T10" s="61">
        <f t="shared" si="20"/>
        <v>1.427061311</v>
      </c>
      <c r="U10" s="60">
        <f t="shared" si="8"/>
        <v>4423.455882</v>
      </c>
      <c r="V10" s="60">
        <f t="shared" si="13"/>
        <v>4573.794038</v>
      </c>
      <c r="W10" s="60">
        <f t="shared" si="21"/>
        <v>5290.918519</v>
      </c>
    </row>
    <row r="11">
      <c r="A11" s="52" t="s">
        <v>43</v>
      </c>
      <c r="B11" s="53">
        <v>269.0</v>
      </c>
      <c r="C11" s="53">
        <v>385.0</v>
      </c>
      <c r="D11" s="53">
        <v>1582735.0</v>
      </c>
      <c r="E11" s="54">
        <v>742940.0</v>
      </c>
      <c r="F11" s="55">
        <f t="shared" si="2"/>
        <v>0.09465165376</v>
      </c>
      <c r="G11" s="56">
        <f t="shared" si="3"/>
        <v>5883.773234</v>
      </c>
      <c r="H11" s="57">
        <f t="shared" ref="H11:I11" si="23">C11/B11</f>
        <v>1.431226766</v>
      </c>
      <c r="I11" s="56">
        <f t="shared" si="23"/>
        <v>4111</v>
      </c>
      <c r="K11" s="38" t="s">
        <v>43</v>
      </c>
      <c r="L11" s="58">
        <f t="shared" si="5"/>
        <v>0.09465165376</v>
      </c>
      <c r="M11" s="58">
        <f t="shared" si="10"/>
        <v>0.06979386463</v>
      </c>
      <c r="N11" s="58">
        <f t="shared" si="18"/>
        <v>0.07141642578</v>
      </c>
      <c r="O11" s="60">
        <f t="shared" si="6"/>
        <v>5883.773234</v>
      </c>
      <c r="P11" s="60">
        <f t="shared" si="11"/>
        <v>8084.616279</v>
      </c>
      <c r="Q11" s="60">
        <f t="shared" si="19"/>
        <v>6757.142857</v>
      </c>
      <c r="R11" s="61">
        <f t="shared" si="7"/>
        <v>1.431226766</v>
      </c>
      <c r="S11" s="61">
        <f t="shared" si="12"/>
        <v>1.7</v>
      </c>
      <c r="T11" s="61">
        <f t="shared" si="20"/>
        <v>1.430952381</v>
      </c>
      <c r="U11" s="60">
        <f t="shared" si="8"/>
        <v>4111</v>
      </c>
      <c r="V11" s="60">
        <f t="shared" si="13"/>
        <v>4755.656635</v>
      </c>
      <c r="W11" s="60">
        <f t="shared" si="21"/>
        <v>4722.129784</v>
      </c>
    </row>
    <row r="12">
      <c r="A12" s="52" t="s">
        <v>44</v>
      </c>
      <c r="B12" s="53">
        <v>358.0</v>
      </c>
      <c r="C12" s="53">
        <v>625.0</v>
      </c>
      <c r="D12" s="53">
        <v>3222065.0</v>
      </c>
      <c r="E12" s="54">
        <v>1519155.0</v>
      </c>
      <c r="F12" s="55">
        <f t="shared" si="2"/>
        <v>0.1259676284</v>
      </c>
      <c r="G12" s="56">
        <f t="shared" si="3"/>
        <v>9000.181564</v>
      </c>
      <c r="H12" s="57">
        <f t="shared" ref="H12:I12" si="24">C12/B12</f>
        <v>1.745810056</v>
      </c>
      <c r="I12" s="56">
        <f t="shared" si="24"/>
        <v>5155.304</v>
      </c>
      <c r="K12" s="38" t="s">
        <v>44</v>
      </c>
      <c r="L12" s="58">
        <f t="shared" si="5"/>
        <v>0.1259676284</v>
      </c>
      <c r="M12" s="58">
        <f t="shared" si="10"/>
        <v>0.1436455121</v>
      </c>
      <c r="N12" s="58">
        <f t="shared" si="18"/>
        <v>0.1698690699</v>
      </c>
      <c r="O12" s="60">
        <f t="shared" si="6"/>
        <v>9000.181564</v>
      </c>
      <c r="P12" s="60">
        <f t="shared" si="11"/>
        <v>9616.485876</v>
      </c>
      <c r="Q12" s="60">
        <f t="shared" si="19"/>
        <v>8936.096096</v>
      </c>
      <c r="R12" s="61">
        <f t="shared" si="7"/>
        <v>1.745810056</v>
      </c>
      <c r="S12" s="61">
        <f t="shared" si="12"/>
        <v>1.742372881</v>
      </c>
      <c r="T12" s="61">
        <f t="shared" si="20"/>
        <v>1.661661662</v>
      </c>
      <c r="U12" s="60">
        <f t="shared" si="8"/>
        <v>5155.304</v>
      </c>
      <c r="V12" s="60">
        <f t="shared" si="13"/>
        <v>5519.189364</v>
      </c>
      <c r="W12" s="60">
        <f t="shared" si="21"/>
        <v>5377.807229</v>
      </c>
    </row>
    <row r="13">
      <c r="A13" s="52" t="s">
        <v>45</v>
      </c>
      <c r="B13" s="53">
        <v>220.0</v>
      </c>
      <c r="C13" s="53">
        <v>323.0</v>
      </c>
      <c r="D13" s="53">
        <v>1638945.0</v>
      </c>
      <c r="E13" s="54">
        <v>766755.0</v>
      </c>
      <c r="F13" s="55">
        <f t="shared" si="2"/>
        <v>0.07741027445</v>
      </c>
      <c r="G13" s="56">
        <f t="shared" si="3"/>
        <v>7449.75</v>
      </c>
      <c r="H13" s="57">
        <f t="shared" ref="H13:I13" si="25">C13/B13</f>
        <v>1.468181818</v>
      </c>
      <c r="I13" s="56">
        <f t="shared" si="25"/>
        <v>5074.133127</v>
      </c>
      <c r="K13" s="38" t="s">
        <v>45</v>
      </c>
      <c r="L13" s="58">
        <f t="shared" si="5"/>
        <v>0.07741027445</v>
      </c>
      <c r="M13" s="58">
        <f t="shared" si="10"/>
        <v>0.06184061029</v>
      </c>
      <c r="N13" s="58">
        <f t="shared" si="18"/>
        <v>0.06580513518</v>
      </c>
      <c r="O13" s="60">
        <f t="shared" si="6"/>
        <v>7449.75</v>
      </c>
      <c r="P13" s="60">
        <f t="shared" si="11"/>
        <v>9027.650919</v>
      </c>
      <c r="Q13" s="60">
        <f t="shared" si="19"/>
        <v>8101.485788</v>
      </c>
      <c r="R13" s="61">
        <f t="shared" si="7"/>
        <v>1.468181818</v>
      </c>
      <c r="S13" s="61">
        <f t="shared" si="12"/>
        <v>1.640419948</v>
      </c>
      <c r="T13" s="61">
        <f t="shared" si="20"/>
        <v>1.452196382</v>
      </c>
      <c r="U13" s="60">
        <f t="shared" si="8"/>
        <v>5074.133127</v>
      </c>
      <c r="V13" s="60">
        <f t="shared" si="13"/>
        <v>5503.256</v>
      </c>
      <c r="W13" s="60">
        <f t="shared" si="21"/>
        <v>5578.781139</v>
      </c>
    </row>
    <row r="14">
      <c r="A14" s="52" t="s">
        <v>46</v>
      </c>
      <c r="B14" s="53">
        <v>224.0</v>
      </c>
      <c r="C14" s="53">
        <v>338.0</v>
      </c>
      <c r="D14" s="53">
        <v>1742675.0</v>
      </c>
      <c r="E14" s="54">
        <v>828905.0</v>
      </c>
      <c r="F14" s="55">
        <f t="shared" si="2"/>
        <v>0.07881773399</v>
      </c>
      <c r="G14" s="56">
        <f t="shared" si="3"/>
        <v>7779.799107</v>
      </c>
      <c r="H14" s="57">
        <f t="shared" ref="H14:I14" si="26">C14/B14</f>
        <v>1.508928571</v>
      </c>
      <c r="I14" s="56">
        <f t="shared" si="26"/>
        <v>5155.843195</v>
      </c>
      <c r="K14" s="38" t="s">
        <v>46</v>
      </c>
      <c r="L14" s="58">
        <f t="shared" si="5"/>
        <v>0.07881773399</v>
      </c>
      <c r="M14" s="58">
        <f t="shared" si="10"/>
        <v>0.06232754423</v>
      </c>
      <c r="N14" s="58">
        <f t="shared" si="18"/>
        <v>0.05832341439</v>
      </c>
      <c r="O14" s="60">
        <f t="shared" si="6"/>
        <v>7779.799107</v>
      </c>
      <c r="P14" s="60">
        <f t="shared" si="11"/>
        <v>9029.882813</v>
      </c>
      <c r="Q14" s="60">
        <f t="shared" si="19"/>
        <v>7425</v>
      </c>
      <c r="R14" s="61">
        <f t="shared" si="7"/>
        <v>1.508928571</v>
      </c>
      <c r="S14" s="61">
        <f t="shared" si="12"/>
        <v>1.703125</v>
      </c>
      <c r="T14" s="61">
        <f t="shared" si="20"/>
        <v>1.521865889</v>
      </c>
      <c r="U14" s="60">
        <f t="shared" si="8"/>
        <v>5155.843195</v>
      </c>
      <c r="V14" s="60">
        <f t="shared" si="13"/>
        <v>5301.949541</v>
      </c>
      <c r="W14" s="60">
        <f t="shared" si="21"/>
        <v>4878.87931</v>
      </c>
    </row>
    <row r="15">
      <c r="A15" s="52" t="s">
        <v>47</v>
      </c>
      <c r="B15" s="53">
        <v>230.0</v>
      </c>
      <c r="C15" s="53">
        <v>349.0</v>
      </c>
      <c r="D15" s="53">
        <v>1446720.0</v>
      </c>
      <c r="E15" s="54">
        <v>692780.0</v>
      </c>
      <c r="F15" s="55">
        <f t="shared" si="2"/>
        <v>0.08092892329</v>
      </c>
      <c r="G15" s="56">
        <f t="shared" si="3"/>
        <v>6290.086957</v>
      </c>
      <c r="H15" s="57">
        <f t="shared" ref="H15:I15" si="27">C15/B15</f>
        <v>1.517391304</v>
      </c>
      <c r="I15" s="56">
        <f t="shared" si="27"/>
        <v>4145.329513</v>
      </c>
      <c r="K15" s="38" t="s">
        <v>47</v>
      </c>
      <c r="L15" s="58">
        <f t="shared" si="5"/>
        <v>0.08092892329</v>
      </c>
      <c r="M15" s="58">
        <f t="shared" si="10"/>
        <v>0.0569712709</v>
      </c>
      <c r="N15" s="58">
        <f t="shared" si="18"/>
        <v>0.0605339228</v>
      </c>
      <c r="O15" s="60">
        <f t="shared" si="6"/>
        <v>6290.086957</v>
      </c>
      <c r="P15" s="60">
        <f t="shared" si="11"/>
        <v>6877.037037</v>
      </c>
      <c r="Q15" s="60">
        <f t="shared" si="19"/>
        <v>6325.772472</v>
      </c>
      <c r="R15" s="61">
        <f t="shared" si="7"/>
        <v>1.517391304</v>
      </c>
      <c r="S15" s="61">
        <f t="shared" si="12"/>
        <v>1.598290598</v>
      </c>
      <c r="T15" s="61">
        <f t="shared" si="20"/>
        <v>1.45505618</v>
      </c>
      <c r="U15" s="60">
        <f t="shared" si="8"/>
        <v>4145.329513</v>
      </c>
      <c r="V15" s="60">
        <f t="shared" si="13"/>
        <v>4302.745098</v>
      </c>
      <c r="W15" s="60">
        <f t="shared" si="21"/>
        <v>4347.442085</v>
      </c>
    </row>
    <row r="16">
      <c r="A16" s="52" t="s">
        <v>48</v>
      </c>
      <c r="B16" s="53">
        <v>311.0</v>
      </c>
      <c r="C16" s="53">
        <v>523.0</v>
      </c>
      <c r="D16" s="53">
        <v>2693735.0</v>
      </c>
      <c r="E16" s="54">
        <v>1293325.0</v>
      </c>
      <c r="F16" s="55">
        <f t="shared" si="2"/>
        <v>0.1094299789</v>
      </c>
      <c r="G16" s="56">
        <f t="shared" si="3"/>
        <v>8661.527331</v>
      </c>
      <c r="H16" s="57">
        <f t="shared" ref="H16:I16" si="28">C16/B16</f>
        <v>1.681672026</v>
      </c>
      <c r="I16" s="56">
        <f t="shared" si="28"/>
        <v>5150.544933</v>
      </c>
      <c r="K16" s="38" t="s">
        <v>48</v>
      </c>
      <c r="L16" s="58">
        <f t="shared" si="5"/>
        <v>0.1094299789</v>
      </c>
      <c r="M16" s="58">
        <f t="shared" si="10"/>
        <v>0.1205973056</v>
      </c>
      <c r="N16" s="58">
        <f t="shared" si="18"/>
        <v>0.1322904268</v>
      </c>
      <c r="O16" s="60">
        <f t="shared" si="6"/>
        <v>8661.527331</v>
      </c>
      <c r="P16" s="60">
        <f t="shared" si="11"/>
        <v>10151.60834</v>
      </c>
      <c r="Q16" s="60">
        <f t="shared" si="19"/>
        <v>9364.280206</v>
      </c>
      <c r="R16" s="61">
        <f t="shared" si="7"/>
        <v>1.681672026</v>
      </c>
      <c r="S16" s="61">
        <f t="shared" si="12"/>
        <v>1.835800808</v>
      </c>
      <c r="T16" s="61">
        <f t="shared" si="20"/>
        <v>1.670951157</v>
      </c>
      <c r="U16" s="60">
        <f t="shared" si="8"/>
        <v>5150.544933</v>
      </c>
      <c r="V16" s="60">
        <f t="shared" si="13"/>
        <v>5529.798387</v>
      </c>
      <c r="W16" s="60">
        <f t="shared" si="21"/>
        <v>5604.161538</v>
      </c>
    </row>
    <row r="17">
      <c r="F17" s="14"/>
      <c r="G17" s="39"/>
      <c r="H17" s="15"/>
      <c r="I17" s="39"/>
    </row>
    <row r="18">
      <c r="F18" s="14"/>
      <c r="G18" s="39"/>
      <c r="H18" s="15"/>
      <c r="I18" s="39"/>
    </row>
    <row r="19">
      <c r="A19" s="42" t="s">
        <v>49</v>
      </c>
      <c r="F19" s="14"/>
      <c r="G19" s="39"/>
      <c r="H19" s="15"/>
      <c r="I19" s="39"/>
    </row>
    <row r="20">
      <c r="A20" s="43" t="s">
        <v>30</v>
      </c>
      <c r="B20" s="43" t="s">
        <v>1</v>
      </c>
      <c r="C20" s="43" t="s">
        <v>2</v>
      </c>
      <c r="D20" s="43" t="s">
        <v>3</v>
      </c>
      <c r="E20" s="43" t="s">
        <v>4</v>
      </c>
      <c r="F20" s="45" t="s">
        <v>31</v>
      </c>
      <c r="G20" s="46" t="s">
        <v>32</v>
      </c>
      <c r="H20" s="47" t="s">
        <v>17</v>
      </c>
      <c r="I20" s="46" t="s">
        <v>11</v>
      </c>
    </row>
    <row r="21">
      <c r="A21" s="62"/>
      <c r="B21" s="63"/>
      <c r="C21" s="63"/>
      <c r="D21" s="64">
        <v>0.0</v>
      </c>
      <c r="E21" s="64">
        <v>0.0</v>
      </c>
      <c r="F21" s="65"/>
      <c r="G21" s="66"/>
      <c r="H21" s="67"/>
      <c r="I21" s="66"/>
    </row>
    <row r="22">
      <c r="A22" s="68" t="s">
        <v>36</v>
      </c>
      <c r="B22" s="64">
        <v>6161.0</v>
      </c>
      <c r="C22" s="64">
        <v>7980.0</v>
      </c>
      <c r="D22" s="64">
        <v>5.0815985E7</v>
      </c>
      <c r="E22" s="64">
        <v>2.616405E7</v>
      </c>
      <c r="F22" s="65">
        <f t="shared" ref="F22:F34" si="30">B22/$B$22</f>
        <v>1</v>
      </c>
      <c r="G22" s="66">
        <f t="shared" ref="G22:G34" si="31">D22/B22</f>
        <v>8248.009252</v>
      </c>
      <c r="H22" s="67">
        <f t="shared" ref="H22:I22" si="29">C22/B22</f>
        <v>1.295244279</v>
      </c>
      <c r="I22" s="66">
        <f t="shared" si="29"/>
        <v>6367.91792</v>
      </c>
    </row>
    <row r="23">
      <c r="A23" s="68" t="s">
        <v>37</v>
      </c>
      <c r="B23" s="64">
        <v>619.0</v>
      </c>
      <c r="C23" s="64">
        <v>939.0</v>
      </c>
      <c r="D23" s="64">
        <v>5396435.0</v>
      </c>
      <c r="E23" s="64">
        <v>2596110.0</v>
      </c>
      <c r="F23" s="65">
        <f t="shared" si="30"/>
        <v>0.1004707028</v>
      </c>
      <c r="G23" s="66">
        <f t="shared" si="31"/>
        <v>8717.988691</v>
      </c>
      <c r="H23" s="67">
        <f t="shared" ref="H23:I23" si="32">C23/B23</f>
        <v>1.516962843</v>
      </c>
      <c r="I23" s="66">
        <f t="shared" si="32"/>
        <v>5747.00213</v>
      </c>
    </row>
    <row r="24">
      <c r="A24" s="68" t="s">
        <v>38</v>
      </c>
      <c r="B24" s="64">
        <v>546.0</v>
      </c>
      <c r="C24" s="64">
        <v>855.0</v>
      </c>
      <c r="D24" s="64">
        <v>4014505.0</v>
      </c>
      <c r="E24" s="64">
        <v>1990010.0</v>
      </c>
      <c r="F24" s="65">
        <f t="shared" si="30"/>
        <v>0.08862197695</v>
      </c>
      <c r="G24" s="66">
        <f t="shared" si="31"/>
        <v>7352.57326</v>
      </c>
      <c r="H24" s="67">
        <f t="shared" ref="H24:I24" si="33">C24/B24</f>
        <v>1.565934066</v>
      </c>
      <c r="I24" s="66">
        <f t="shared" si="33"/>
        <v>4695.327485</v>
      </c>
    </row>
    <row r="25">
      <c r="A25" s="68" t="s">
        <v>39</v>
      </c>
      <c r="B25" s="64">
        <v>451.0</v>
      </c>
      <c r="C25" s="64">
        <v>696.0</v>
      </c>
      <c r="D25" s="64">
        <v>3515930.0</v>
      </c>
      <c r="E25" s="64">
        <v>1742015.0</v>
      </c>
      <c r="F25" s="65">
        <f t="shared" si="30"/>
        <v>0.07320240221</v>
      </c>
      <c r="G25" s="66">
        <f t="shared" si="31"/>
        <v>7795.853659</v>
      </c>
      <c r="H25" s="67">
        <f t="shared" ref="H25:I25" si="34">C25/B25</f>
        <v>1.543237251</v>
      </c>
      <c r="I25" s="66">
        <f t="shared" si="34"/>
        <v>5051.623563</v>
      </c>
    </row>
    <row r="26">
      <c r="A26" s="68" t="s">
        <v>40</v>
      </c>
      <c r="B26" s="64">
        <v>939.0</v>
      </c>
      <c r="C26" s="64">
        <v>1579.0</v>
      </c>
      <c r="D26" s="64">
        <v>8754185.0</v>
      </c>
      <c r="E26" s="64">
        <v>4264700.0</v>
      </c>
      <c r="F26" s="65">
        <f t="shared" si="30"/>
        <v>0.152410323</v>
      </c>
      <c r="G26" s="66">
        <f t="shared" si="31"/>
        <v>9322.880724</v>
      </c>
      <c r="H26" s="67">
        <f t="shared" ref="H26:I26" si="35">C26/B26</f>
        <v>1.681576145</v>
      </c>
      <c r="I26" s="66">
        <f t="shared" si="35"/>
        <v>5544.132362</v>
      </c>
    </row>
    <row r="27">
      <c r="A27" s="68" t="s">
        <v>41</v>
      </c>
      <c r="B27" s="64">
        <v>418.0</v>
      </c>
      <c r="C27" s="64">
        <v>687.0</v>
      </c>
      <c r="D27" s="64">
        <v>3430020.0</v>
      </c>
      <c r="E27" s="64">
        <v>1596375.0</v>
      </c>
      <c r="F27" s="65">
        <f t="shared" si="30"/>
        <v>0.06784612888</v>
      </c>
      <c r="G27" s="66">
        <f t="shared" si="31"/>
        <v>8205.789474</v>
      </c>
      <c r="H27" s="67">
        <f t="shared" ref="H27:I27" si="36">C27/B27</f>
        <v>1.64354067</v>
      </c>
      <c r="I27" s="66">
        <f t="shared" si="36"/>
        <v>4992.751092</v>
      </c>
    </row>
    <row r="28">
      <c r="A28" s="68" t="s">
        <v>42</v>
      </c>
      <c r="B28" s="64">
        <v>442.0</v>
      </c>
      <c r="C28" s="64">
        <v>738.0</v>
      </c>
      <c r="D28" s="64">
        <v>3375460.0</v>
      </c>
      <c r="E28" s="64">
        <v>1614635.0</v>
      </c>
      <c r="F28" s="65">
        <f t="shared" si="30"/>
        <v>0.07174160039</v>
      </c>
      <c r="G28" s="66">
        <f t="shared" si="31"/>
        <v>7636.78733</v>
      </c>
      <c r="H28" s="67">
        <f t="shared" ref="H28:I28" si="37">C28/B28</f>
        <v>1.669683258</v>
      </c>
      <c r="I28" s="66">
        <f t="shared" si="37"/>
        <v>4573.794038</v>
      </c>
    </row>
    <row r="29">
      <c r="A29" s="68" t="s">
        <v>43</v>
      </c>
      <c r="B29" s="64">
        <v>430.0</v>
      </c>
      <c r="C29" s="64">
        <v>731.0</v>
      </c>
      <c r="D29" s="64">
        <v>3476385.0</v>
      </c>
      <c r="E29" s="64">
        <v>1640210.0</v>
      </c>
      <c r="F29" s="65">
        <f t="shared" si="30"/>
        <v>0.06979386463</v>
      </c>
      <c r="G29" s="66">
        <f t="shared" si="31"/>
        <v>8084.616279</v>
      </c>
      <c r="H29" s="67">
        <f t="shared" ref="H29:I29" si="38">C29/B29</f>
        <v>1.7</v>
      </c>
      <c r="I29" s="66">
        <f t="shared" si="38"/>
        <v>4755.656635</v>
      </c>
    </row>
    <row r="30">
      <c r="A30" s="68" t="s">
        <v>44</v>
      </c>
      <c r="B30" s="64">
        <v>885.0</v>
      </c>
      <c r="C30" s="64">
        <v>1542.0</v>
      </c>
      <c r="D30" s="64">
        <v>8510590.0</v>
      </c>
      <c r="E30" s="64">
        <v>4095850.0</v>
      </c>
      <c r="F30" s="65">
        <f t="shared" si="30"/>
        <v>0.1436455121</v>
      </c>
      <c r="G30" s="66">
        <f t="shared" si="31"/>
        <v>9616.485876</v>
      </c>
      <c r="H30" s="67">
        <f t="shared" ref="H30:I30" si="39">C30/B30</f>
        <v>1.742372881</v>
      </c>
      <c r="I30" s="66">
        <f t="shared" si="39"/>
        <v>5519.189364</v>
      </c>
    </row>
    <row r="31">
      <c r="A31" s="68" t="s">
        <v>45</v>
      </c>
      <c r="B31" s="64">
        <v>381.0</v>
      </c>
      <c r="C31" s="64">
        <v>625.0</v>
      </c>
      <c r="D31" s="64">
        <v>3439535.0</v>
      </c>
      <c r="E31" s="64">
        <v>1651705.0</v>
      </c>
      <c r="F31" s="65">
        <f t="shared" si="30"/>
        <v>0.06184061029</v>
      </c>
      <c r="G31" s="66">
        <f t="shared" si="31"/>
        <v>9027.650919</v>
      </c>
      <c r="H31" s="67">
        <f t="shared" ref="H31:I31" si="40">C31/B31</f>
        <v>1.640419948</v>
      </c>
      <c r="I31" s="66">
        <f t="shared" si="40"/>
        <v>5503.256</v>
      </c>
    </row>
    <row r="32">
      <c r="A32" s="68" t="s">
        <v>46</v>
      </c>
      <c r="B32" s="64">
        <v>384.0</v>
      </c>
      <c r="C32" s="64">
        <v>654.0</v>
      </c>
      <c r="D32" s="64">
        <v>3467475.0</v>
      </c>
      <c r="E32" s="64">
        <v>1650495.0</v>
      </c>
      <c r="F32" s="65">
        <f t="shared" si="30"/>
        <v>0.06232754423</v>
      </c>
      <c r="G32" s="66">
        <f t="shared" si="31"/>
        <v>9029.882813</v>
      </c>
      <c r="H32" s="67">
        <f t="shared" ref="H32:I32" si="41">C32/B32</f>
        <v>1.703125</v>
      </c>
      <c r="I32" s="66">
        <f t="shared" si="41"/>
        <v>5301.949541</v>
      </c>
    </row>
    <row r="33">
      <c r="A33" s="68" t="s">
        <v>47</v>
      </c>
      <c r="B33" s="64">
        <v>351.0</v>
      </c>
      <c r="C33" s="64">
        <v>561.0</v>
      </c>
      <c r="D33" s="64">
        <v>2413840.0</v>
      </c>
      <c r="E33" s="64">
        <v>1158025.0</v>
      </c>
      <c r="F33" s="65">
        <f t="shared" si="30"/>
        <v>0.0569712709</v>
      </c>
      <c r="G33" s="66">
        <f t="shared" si="31"/>
        <v>6877.037037</v>
      </c>
      <c r="H33" s="67">
        <f t="shared" ref="H33:I33" si="42">C33/B33</f>
        <v>1.598290598</v>
      </c>
      <c r="I33" s="66">
        <f t="shared" si="42"/>
        <v>4302.745098</v>
      </c>
    </row>
    <row r="34">
      <c r="A34" s="68" t="s">
        <v>48</v>
      </c>
      <c r="B34" s="64">
        <v>743.0</v>
      </c>
      <c r="C34" s="64">
        <v>1364.0</v>
      </c>
      <c r="D34" s="64">
        <v>7542645.0</v>
      </c>
      <c r="E34" s="64">
        <v>3669875.0</v>
      </c>
      <c r="F34" s="65">
        <f t="shared" si="30"/>
        <v>0.1205973056</v>
      </c>
      <c r="G34" s="66">
        <f t="shared" si="31"/>
        <v>10151.60834</v>
      </c>
      <c r="H34" s="67">
        <f t="shared" ref="H34:I34" si="43">C34/B34</f>
        <v>1.835800808</v>
      </c>
      <c r="I34" s="66">
        <f t="shared" si="43"/>
        <v>5529.798387</v>
      </c>
    </row>
    <row r="35">
      <c r="F35" s="14"/>
      <c r="G35" s="39"/>
      <c r="H35" s="15"/>
      <c r="I35" s="39"/>
    </row>
    <row r="36">
      <c r="F36" s="14"/>
      <c r="G36" s="39"/>
      <c r="H36" s="15"/>
      <c r="I36" s="39"/>
    </row>
    <row r="37">
      <c r="A37" s="42" t="s">
        <v>53</v>
      </c>
      <c r="F37" s="14"/>
      <c r="G37" s="39"/>
      <c r="H37" s="15"/>
      <c r="I37" s="39"/>
    </row>
    <row r="38">
      <c r="A38" s="43" t="s">
        <v>30</v>
      </c>
      <c r="B38" s="43" t="s">
        <v>1</v>
      </c>
      <c r="C38" s="43" t="s">
        <v>2</v>
      </c>
      <c r="D38" s="43" t="s">
        <v>3</v>
      </c>
      <c r="E38" s="43" t="s">
        <v>4</v>
      </c>
      <c r="F38" s="45" t="s">
        <v>31</v>
      </c>
      <c r="G38" s="46" t="s">
        <v>32</v>
      </c>
      <c r="H38" s="47" t="s">
        <v>17</v>
      </c>
      <c r="I38" s="46" t="s">
        <v>11</v>
      </c>
    </row>
    <row r="39">
      <c r="A39" s="69"/>
      <c r="B39" s="63"/>
      <c r="C39" s="63"/>
      <c r="D39" s="64">
        <v>0.0</v>
      </c>
      <c r="E39" s="64">
        <v>0.0</v>
      </c>
      <c r="F39" s="65"/>
      <c r="G39" s="66"/>
      <c r="H39" s="67"/>
      <c r="I39" s="66"/>
    </row>
    <row r="40">
      <c r="A40" s="69"/>
      <c r="B40" s="63"/>
      <c r="C40" s="63"/>
      <c r="D40" s="64">
        <v>0.0</v>
      </c>
      <c r="E40" s="64">
        <v>0.0</v>
      </c>
      <c r="F40" s="65"/>
      <c r="G40" s="66"/>
      <c r="H40" s="67"/>
      <c r="I40" s="66"/>
    </row>
    <row r="41">
      <c r="A41" s="69"/>
      <c r="B41" s="63"/>
      <c r="C41" s="63"/>
      <c r="D41" s="64">
        <v>0.0</v>
      </c>
      <c r="E41" s="64">
        <v>0.0</v>
      </c>
      <c r="F41" s="65"/>
      <c r="G41" s="66"/>
      <c r="H41" s="67"/>
      <c r="I41" s="66"/>
    </row>
    <row r="42">
      <c r="A42" s="69"/>
      <c r="B42" s="63"/>
      <c r="C42" s="63"/>
      <c r="D42" s="64">
        <v>0.0</v>
      </c>
      <c r="E42" s="64">
        <v>0.0</v>
      </c>
      <c r="F42" s="65"/>
      <c r="G42" s="66"/>
      <c r="H42" s="67"/>
      <c r="I42" s="66"/>
    </row>
    <row r="43">
      <c r="A43" s="69"/>
      <c r="B43" s="63"/>
      <c r="C43" s="63"/>
      <c r="D43" s="64">
        <v>0.0</v>
      </c>
      <c r="E43" s="64">
        <v>0.0</v>
      </c>
      <c r="F43" s="65"/>
      <c r="G43" s="66"/>
      <c r="H43" s="67"/>
      <c r="I43" s="66"/>
    </row>
    <row r="44">
      <c r="A44" s="70" t="s">
        <v>40</v>
      </c>
      <c r="B44" s="64">
        <v>5881.0</v>
      </c>
      <c r="C44" s="64">
        <v>7651.0</v>
      </c>
      <c r="D44" s="64">
        <v>4.608989E7</v>
      </c>
      <c r="E44" s="64">
        <v>2.257783E7</v>
      </c>
      <c r="F44" s="65">
        <f t="shared" ref="F44:F52" si="45">B44/$B$44</f>
        <v>1</v>
      </c>
      <c r="G44" s="66">
        <f t="shared" ref="G44:G52" si="46">D44/B44</f>
        <v>7837.083829</v>
      </c>
      <c r="H44" s="67">
        <f t="shared" ref="H44:I44" si="44">C44/B44</f>
        <v>1.300969223</v>
      </c>
      <c r="I44" s="66">
        <f t="shared" si="44"/>
        <v>6024.034767</v>
      </c>
    </row>
    <row r="45">
      <c r="A45" s="70" t="s">
        <v>41</v>
      </c>
      <c r="B45" s="64">
        <v>690.0</v>
      </c>
      <c r="C45" s="64">
        <v>1011.0</v>
      </c>
      <c r="D45" s="64">
        <v>5531845.0</v>
      </c>
      <c r="E45" s="64">
        <v>2540340.0</v>
      </c>
      <c r="F45" s="65">
        <f t="shared" si="45"/>
        <v>0.1173269852</v>
      </c>
      <c r="G45" s="66">
        <f t="shared" si="46"/>
        <v>8017.166667</v>
      </c>
      <c r="H45" s="67">
        <f t="shared" ref="H45:I45" si="47">C45/B45</f>
        <v>1.465217391</v>
      </c>
      <c r="I45" s="66">
        <f t="shared" si="47"/>
        <v>5471.656775</v>
      </c>
    </row>
    <row r="46">
      <c r="A46" s="70" t="s">
        <v>42</v>
      </c>
      <c r="B46" s="64">
        <v>473.0</v>
      </c>
      <c r="C46" s="64">
        <v>675.0</v>
      </c>
      <c r="D46" s="64">
        <v>3571370.0</v>
      </c>
      <c r="E46" s="64">
        <v>1677170.0</v>
      </c>
      <c r="F46" s="65">
        <f t="shared" si="45"/>
        <v>0.08042849855</v>
      </c>
      <c r="G46" s="66">
        <f t="shared" si="46"/>
        <v>7550.465116</v>
      </c>
      <c r="H46" s="67">
        <f t="shared" ref="H46:I46" si="48">C46/B46</f>
        <v>1.427061311</v>
      </c>
      <c r="I46" s="66">
        <f t="shared" si="48"/>
        <v>5290.918519</v>
      </c>
    </row>
    <row r="47">
      <c r="A47" s="70" t="s">
        <v>43</v>
      </c>
      <c r="B47" s="64">
        <v>420.0</v>
      </c>
      <c r="C47" s="64">
        <v>601.0</v>
      </c>
      <c r="D47" s="64">
        <v>2838000.0</v>
      </c>
      <c r="E47" s="64">
        <v>1371040.0</v>
      </c>
      <c r="F47" s="65">
        <f t="shared" si="45"/>
        <v>0.07141642578</v>
      </c>
      <c r="G47" s="66">
        <f t="shared" si="46"/>
        <v>6757.142857</v>
      </c>
      <c r="H47" s="67">
        <f t="shared" ref="H47:I47" si="49">C47/B47</f>
        <v>1.430952381</v>
      </c>
      <c r="I47" s="66">
        <f t="shared" si="49"/>
        <v>4722.129784</v>
      </c>
    </row>
    <row r="48">
      <c r="A48" s="70" t="s">
        <v>44</v>
      </c>
      <c r="B48" s="64">
        <v>999.0</v>
      </c>
      <c r="C48" s="64">
        <v>1660.0</v>
      </c>
      <c r="D48" s="64">
        <v>8927160.0</v>
      </c>
      <c r="E48" s="64">
        <v>4306665.0</v>
      </c>
      <c r="F48" s="65">
        <f t="shared" si="45"/>
        <v>0.1698690699</v>
      </c>
      <c r="G48" s="66">
        <f t="shared" si="46"/>
        <v>8936.096096</v>
      </c>
      <c r="H48" s="67">
        <f t="shared" ref="H48:I48" si="50">C48/B48</f>
        <v>1.661661662</v>
      </c>
      <c r="I48" s="66">
        <f t="shared" si="50"/>
        <v>5377.807229</v>
      </c>
    </row>
    <row r="49">
      <c r="A49" s="70" t="s">
        <v>45</v>
      </c>
      <c r="B49" s="64">
        <v>387.0</v>
      </c>
      <c r="C49" s="64">
        <v>562.0</v>
      </c>
      <c r="D49" s="64">
        <v>3135275.0</v>
      </c>
      <c r="E49" s="64">
        <v>1509805.0</v>
      </c>
      <c r="F49" s="65">
        <f t="shared" si="45"/>
        <v>0.06580513518</v>
      </c>
      <c r="G49" s="66">
        <f t="shared" si="46"/>
        <v>8101.485788</v>
      </c>
      <c r="H49" s="67">
        <f t="shared" ref="H49:I49" si="51">C49/B49</f>
        <v>1.452196382</v>
      </c>
      <c r="I49" s="66">
        <f t="shared" si="51"/>
        <v>5578.781139</v>
      </c>
    </row>
    <row r="50">
      <c r="A50" s="70" t="s">
        <v>46</v>
      </c>
      <c r="B50" s="64">
        <v>343.0</v>
      </c>
      <c r="C50" s="64">
        <v>522.0</v>
      </c>
      <c r="D50" s="64">
        <v>2546775.0</v>
      </c>
      <c r="E50" s="64">
        <v>1241075.0</v>
      </c>
      <c r="F50" s="65">
        <f t="shared" si="45"/>
        <v>0.05832341439</v>
      </c>
      <c r="G50" s="66">
        <f t="shared" si="46"/>
        <v>7425</v>
      </c>
      <c r="H50" s="67">
        <f t="shared" ref="H50:I50" si="52">C50/B50</f>
        <v>1.521865889</v>
      </c>
      <c r="I50" s="66">
        <f t="shared" si="52"/>
        <v>4878.87931</v>
      </c>
    </row>
    <row r="51">
      <c r="A51" s="70" t="s">
        <v>47</v>
      </c>
      <c r="B51" s="64">
        <v>356.0</v>
      </c>
      <c r="C51" s="64">
        <v>518.0</v>
      </c>
      <c r="D51" s="64">
        <v>2251975.0</v>
      </c>
      <c r="E51" s="64">
        <v>1074480.0</v>
      </c>
      <c r="F51" s="65">
        <f t="shared" si="45"/>
        <v>0.0605339228</v>
      </c>
      <c r="G51" s="66">
        <f t="shared" si="46"/>
        <v>6325.772472</v>
      </c>
      <c r="H51" s="67">
        <f t="shared" ref="H51:I51" si="53">C51/B51</f>
        <v>1.45505618</v>
      </c>
      <c r="I51" s="66">
        <f t="shared" si="53"/>
        <v>4347.442085</v>
      </c>
    </row>
    <row r="52">
      <c r="A52" s="70" t="s">
        <v>48</v>
      </c>
      <c r="B52" s="64">
        <v>778.0</v>
      </c>
      <c r="C52" s="64">
        <v>1300.0</v>
      </c>
      <c r="D52" s="64">
        <v>7285410.0</v>
      </c>
      <c r="E52" s="64">
        <v>3469510.0</v>
      </c>
      <c r="F52" s="65">
        <f t="shared" si="45"/>
        <v>0.1322904268</v>
      </c>
      <c r="G52" s="66">
        <f t="shared" si="46"/>
        <v>9364.280206</v>
      </c>
      <c r="H52" s="67">
        <f t="shared" ref="H52:I52" si="54">C52/B52</f>
        <v>1.670951157</v>
      </c>
      <c r="I52" s="66">
        <f t="shared" si="54"/>
        <v>5604.161538</v>
      </c>
    </row>
    <row r="53">
      <c r="F53" s="14"/>
      <c r="G53" s="39"/>
      <c r="H53" s="15"/>
      <c r="I53" s="39"/>
    </row>
    <row r="54">
      <c r="F54" s="14"/>
      <c r="G54" s="39"/>
      <c r="H54" s="15"/>
      <c r="I54" s="39"/>
    </row>
    <row r="55">
      <c r="F55" s="14"/>
      <c r="G55" s="39"/>
      <c r="H55" s="15"/>
      <c r="I55" s="39"/>
    </row>
    <row r="56">
      <c r="F56" s="14"/>
      <c r="G56" s="39"/>
      <c r="H56" s="15"/>
      <c r="I56" s="39"/>
    </row>
    <row r="57">
      <c r="F57" s="14"/>
      <c r="G57" s="39"/>
      <c r="H57" s="15"/>
      <c r="I57" s="39"/>
    </row>
    <row r="58">
      <c r="F58" s="14"/>
      <c r="G58" s="39"/>
      <c r="H58" s="15"/>
      <c r="I58" s="39"/>
    </row>
    <row r="59">
      <c r="F59" s="14"/>
      <c r="G59" s="39"/>
      <c r="H59" s="15"/>
      <c r="I59" s="39"/>
    </row>
    <row r="60">
      <c r="F60" s="14"/>
      <c r="G60" s="39"/>
      <c r="H60" s="15"/>
      <c r="I60" s="39"/>
    </row>
    <row r="61">
      <c r="F61" s="14"/>
      <c r="G61" s="39"/>
      <c r="H61" s="15"/>
      <c r="I61" s="39"/>
    </row>
    <row r="62">
      <c r="F62" s="14"/>
      <c r="G62" s="39"/>
      <c r="H62" s="15"/>
      <c r="I62" s="39"/>
    </row>
    <row r="63">
      <c r="F63" s="14"/>
      <c r="G63" s="39"/>
      <c r="H63" s="15"/>
      <c r="I63" s="39"/>
    </row>
    <row r="64">
      <c r="F64" s="14"/>
      <c r="G64" s="39"/>
      <c r="H64" s="15"/>
      <c r="I64" s="39"/>
    </row>
    <row r="65">
      <c r="F65" s="14"/>
      <c r="G65" s="39"/>
      <c r="H65" s="15"/>
      <c r="I65" s="39"/>
    </row>
    <row r="66">
      <c r="F66" s="14"/>
      <c r="G66" s="39"/>
      <c r="H66" s="15"/>
      <c r="I66" s="39"/>
    </row>
    <row r="67">
      <c r="F67" s="14"/>
      <c r="G67" s="39"/>
      <c r="H67" s="15"/>
      <c r="I67" s="39"/>
    </row>
    <row r="68">
      <c r="F68" s="14"/>
      <c r="G68" s="39"/>
      <c r="H68" s="15"/>
      <c r="I68" s="39"/>
    </row>
    <row r="69">
      <c r="F69" s="14"/>
      <c r="G69" s="39"/>
      <c r="H69" s="15"/>
      <c r="I69" s="39"/>
    </row>
    <row r="70">
      <c r="F70" s="14"/>
      <c r="G70" s="39"/>
      <c r="H70" s="15"/>
      <c r="I70" s="39"/>
    </row>
    <row r="71">
      <c r="F71" s="14"/>
      <c r="G71" s="39"/>
      <c r="H71" s="15"/>
      <c r="I71" s="39"/>
    </row>
    <row r="72">
      <c r="F72" s="14"/>
      <c r="G72" s="39"/>
      <c r="H72" s="15"/>
      <c r="I72" s="39"/>
    </row>
    <row r="73">
      <c r="F73" s="14"/>
      <c r="G73" s="39"/>
      <c r="H73" s="15"/>
      <c r="I73" s="39"/>
    </row>
    <row r="74">
      <c r="F74" s="14"/>
      <c r="G74" s="39"/>
      <c r="H74" s="15"/>
      <c r="I74" s="39"/>
    </row>
    <row r="75">
      <c r="F75" s="14"/>
      <c r="G75" s="39"/>
      <c r="H75" s="15"/>
      <c r="I75" s="39"/>
    </row>
    <row r="76">
      <c r="F76" s="14"/>
      <c r="G76" s="39"/>
      <c r="H76" s="15"/>
      <c r="I76" s="39"/>
    </row>
    <row r="77">
      <c r="F77" s="14"/>
      <c r="G77" s="39"/>
      <c r="H77" s="15"/>
      <c r="I77" s="39"/>
    </row>
    <row r="78">
      <c r="F78" s="14"/>
      <c r="G78" s="39"/>
      <c r="H78" s="15"/>
      <c r="I78" s="39"/>
    </row>
    <row r="79">
      <c r="F79" s="14"/>
      <c r="G79" s="39"/>
      <c r="H79" s="15"/>
      <c r="I79" s="39"/>
    </row>
    <row r="80">
      <c r="F80" s="14"/>
      <c r="G80" s="39"/>
      <c r="H80" s="15"/>
      <c r="I80" s="39"/>
    </row>
    <row r="81">
      <c r="F81" s="14"/>
      <c r="G81" s="39"/>
      <c r="H81" s="15"/>
      <c r="I81" s="39"/>
    </row>
    <row r="82">
      <c r="F82" s="14"/>
      <c r="G82" s="39"/>
      <c r="H82" s="15"/>
      <c r="I82" s="39"/>
    </row>
    <row r="83">
      <c r="F83" s="14"/>
      <c r="G83" s="39"/>
      <c r="H83" s="15"/>
      <c r="I83" s="39"/>
    </row>
    <row r="84">
      <c r="F84" s="14"/>
      <c r="G84" s="39"/>
      <c r="H84" s="15"/>
      <c r="I84" s="39"/>
    </row>
    <row r="85">
      <c r="F85" s="14"/>
      <c r="G85" s="39"/>
      <c r="H85" s="15"/>
      <c r="I85" s="39"/>
    </row>
    <row r="86">
      <c r="F86" s="14"/>
      <c r="G86" s="39"/>
      <c r="H86" s="15"/>
      <c r="I86" s="39"/>
    </row>
    <row r="87">
      <c r="F87" s="14"/>
      <c r="G87" s="39"/>
      <c r="H87" s="15"/>
      <c r="I87" s="39"/>
    </row>
    <row r="88">
      <c r="F88" s="14"/>
      <c r="G88" s="39"/>
      <c r="H88" s="15"/>
      <c r="I88" s="39"/>
    </row>
    <row r="89">
      <c r="F89" s="14"/>
      <c r="G89" s="39"/>
      <c r="H89" s="15"/>
      <c r="I89" s="39"/>
    </row>
    <row r="90">
      <c r="F90" s="14"/>
      <c r="G90" s="39"/>
      <c r="H90" s="15"/>
      <c r="I90" s="39"/>
    </row>
    <row r="91">
      <c r="F91" s="14"/>
      <c r="G91" s="39"/>
      <c r="H91" s="15"/>
      <c r="I91" s="39"/>
    </row>
    <row r="92">
      <c r="F92" s="14"/>
      <c r="G92" s="39"/>
      <c r="H92" s="15"/>
      <c r="I92" s="39"/>
    </row>
    <row r="93">
      <c r="F93" s="14"/>
      <c r="G93" s="39"/>
      <c r="H93" s="15"/>
      <c r="I93" s="39"/>
    </row>
    <row r="94">
      <c r="F94" s="14"/>
      <c r="G94" s="39"/>
      <c r="H94" s="15"/>
      <c r="I94" s="39"/>
    </row>
    <row r="95">
      <c r="F95" s="14"/>
      <c r="G95" s="39"/>
      <c r="H95" s="15"/>
      <c r="I95" s="39"/>
    </row>
    <row r="96">
      <c r="F96" s="14"/>
      <c r="G96" s="39"/>
      <c r="H96" s="15"/>
      <c r="I96" s="39"/>
    </row>
    <row r="97">
      <c r="F97" s="14"/>
      <c r="G97" s="39"/>
      <c r="H97" s="15"/>
      <c r="I97" s="39"/>
    </row>
    <row r="98">
      <c r="F98" s="14"/>
      <c r="G98" s="39"/>
      <c r="H98" s="15"/>
      <c r="I98" s="39"/>
    </row>
    <row r="99">
      <c r="F99" s="14"/>
      <c r="G99" s="39"/>
      <c r="H99" s="15"/>
      <c r="I99" s="39"/>
    </row>
    <row r="100">
      <c r="F100" s="14"/>
      <c r="G100" s="39"/>
      <c r="H100" s="15"/>
      <c r="I100" s="39"/>
    </row>
    <row r="101">
      <c r="F101" s="14"/>
      <c r="G101" s="39"/>
      <c r="H101" s="15"/>
      <c r="I101" s="39"/>
    </row>
    <row r="102">
      <c r="F102" s="14"/>
      <c r="G102" s="39"/>
      <c r="H102" s="15"/>
      <c r="I102" s="39"/>
    </row>
    <row r="103">
      <c r="F103" s="14"/>
      <c r="G103" s="39"/>
      <c r="H103" s="15"/>
      <c r="I103" s="39"/>
    </row>
    <row r="104">
      <c r="F104" s="14"/>
      <c r="G104" s="39"/>
      <c r="H104" s="15"/>
      <c r="I104" s="39"/>
    </row>
    <row r="105">
      <c r="F105" s="14"/>
      <c r="G105" s="39"/>
      <c r="H105" s="15"/>
      <c r="I105" s="39"/>
    </row>
    <row r="106">
      <c r="F106" s="14"/>
      <c r="G106" s="39"/>
      <c r="H106" s="15"/>
      <c r="I106" s="39"/>
    </row>
    <row r="107">
      <c r="F107" s="14"/>
      <c r="G107" s="39"/>
      <c r="H107" s="15"/>
      <c r="I107" s="39"/>
    </row>
    <row r="108">
      <c r="F108" s="14"/>
      <c r="G108" s="39"/>
      <c r="H108" s="15"/>
      <c r="I108" s="39"/>
    </row>
    <row r="109">
      <c r="F109" s="14"/>
      <c r="G109" s="39"/>
      <c r="H109" s="15"/>
      <c r="I109" s="39"/>
    </row>
    <row r="110">
      <c r="F110" s="14"/>
      <c r="G110" s="39"/>
      <c r="H110" s="15"/>
      <c r="I110" s="39"/>
    </row>
    <row r="111">
      <c r="F111" s="14"/>
      <c r="G111" s="39"/>
      <c r="H111" s="15"/>
      <c r="I111" s="39"/>
    </row>
    <row r="112">
      <c r="F112" s="14"/>
      <c r="G112" s="39"/>
      <c r="H112" s="15"/>
      <c r="I112" s="39"/>
    </row>
    <row r="113">
      <c r="F113" s="14"/>
      <c r="G113" s="39"/>
      <c r="H113" s="15"/>
      <c r="I113" s="39"/>
    </row>
    <row r="114">
      <c r="F114" s="14"/>
      <c r="G114" s="39"/>
      <c r="H114" s="15"/>
      <c r="I114" s="39"/>
    </row>
    <row r="115">
      <c r="F115" s="14"/>
      <c r="G115" s="39"/>
      <c r="H115" s="15"/>
      <c r="I115" s="39"/>
    </row>
    <row r="116">
      <c r="F116" s="14"/>
      <c r="G116" s="39"/>
      <c r="H116" s="15"/>
      <c r="I116" s="39"/>
    </row>
    <row r="117">
      <c r="F117" s="14"/>
      <c r="G117" s="39"/>
      <c r="H117" s="15"/>
      <c r="I117" s="39"/>
    </row>
    <row r="118">
      <c r="F118" s="14"/>
      <c r="G118" s="39"/>
      <c r="H118" s="15"/>
      <c r="I118" s="39"/>
    </row>
    <row r="119">
      <c r="F119" s="14"/>
      <c r="G119" s="39"/>
      <c r="H119" s="15"/>
      <c r="I119" s="39"/>
    </row>
    <row r="120">
      <c r="F120" s="14"/>
      <c r="G120" s="39"/>
      <c r="H120" s="15"/>
      <c r="I120" s="39"/>
    </row>
    <row r="121">
      <c r="F121" s="14"/>
      <c r="G121" s="39"/>
      <c r="H121" s="15"/>
      <c r="I121" s="39"/>
    </row>
    <row r="122">
      <c r="F122" s="14"/>
      <c r="G122" s="39"/>
      <c r="H122" s="15"/>
      <c r="I122" s="39"/>
    </row>
    <row r="123">
      <c r="F123" s="14"/>
      <c r="G123" s="39"/>
      <c r="H123" s="15"/>
      <c r="I123" s="39"/>
    </row>
    <row r="124">
      <c r="F124" s="14"/>
      <c r="G124" s="39"/>
      <c r="H124" s="15"/>
      <c r="I124" s="39"/>
    </row>
    <row r="125">
      <c r="F125" s="14"/>
      <c r="G125" s="39"/>
      <c r="H125" s="15"/>
      <c r="I125" s="39"/>
    </row>
    <row r="126">
      <c r="F126" s="14"/>
      <c r="G126" s="39"/>
      <c r="H126" s="15"/>
      <c r="I126" s="39"/>
    </row>
    <row r="127">
      <c r="F127" s="14"/>
      <c r="G127" s="39"/>
      <c r="H127" s="15"/>
      <c r="I127" s="39"/>
    </row>
    <row r="128">
      <c r="F128" s="14"/>
      <c r="G128" s="39"/>
      <c r="H128" s="15"/>
      <c r="I128" s="39"/>
    </row>
    <row r="129">
      <c r="F129" s="14"/>
      <c r="G129" s="39"/>
      <c r="H129" s="15"/>
      <c r="I129" s="39"/>
    </row>
    <row r="130">
      <c r="F130" s="14"/>
      <c r="G130" s="39"/>
      <c r="H130" s="15"/>
      <c r="I130" s="39"/>
    </row>
    <row r="131">
      <c r="F131" s="14"/>
      <c r="G131" s="39"/>
      <c r="H131" s="15"/>
      <c r="I131" s="39"/>
    </row>
    <row r="132">
      <c r="F132" s="14"/>
      <c r="G132" s="39"/>
      <c r="H132" s="15"/>
      <c r="I132" s="39"/>
    </row>
    <row r="133">
      <c r="F133" s="14"/>
      <c r="G133" s="39"/>
      <c r="H133" s="15"/>
      <c r="I133" s="39"/>
    </row>
    <row r="134">
      <c r="F134" s="14"/>
      <c r="G134" s="39"/>
      <c r="H134" s="15"/>
      <c r="I134" s="39"/>
    </row>
    <row r="135">
      <c r="F135" s="14"/>
      <c r="G135" s="39"/>
      <c r="H135" s="15"/>
      <c r="I135" s="39"/>
    </row>
    <row r="136">
      <c r="F136" s="14"/>
      <c r="G136" s="39"/>
      <c r="H136" s="15"/>
      <c r="I136" s="39"/>
    </row>
    <row r="137">
      <c r="F137" s="14"/>
      <c r="G137" s="39"/>
      <c r="H137" s="15"/>
      <c r="I137" s="39"/>
    </row>
    <row r="138">
      <c r="F138" s="14"/>
      <c r="G138" s="39"/>
      <c r="H138" s="15"/>
      <c r="I138" s="39"/>
    </row>
    <row r="139">
      <c r="F139" s="14"/>
      <c r="G139" s="39"/>
      <c r="H139" s="15"/>
      <c r="I139" s="39"/>
    </row>
    <row r="140">
      <c r="F140" s="14"/>
      <c r="G140" s="39"/>
      <c r="H140" s="15"/>
      <c r="I140" s="39"/>
    </row>
    <row r="141">
      <c r="F141" s="14"/>
      <c r="G141" s="39"/>
      <c r="H141" s="15"/>
      <c r="I141" s="39"/>
    </row>
    <row r="142">
      <c r="F142" s="14"/>
      <c r="G142" s="39"/>
      <c r="H142" s="15"/>
      <c r="I142" s="39"/>
    </row>
    <row r="143">
      <c r="F143" s="14"/>
      <c r="G143" s="39"/>
      <c r="H143" s="15"/>
      <c r="I143" s="39"/>
    </row>
    <row r="144">
      <c r="F144" s="14"/>
      <c r="G144" s="39"/>
      <c r="H144" s="15"/>
      <c r="I144" s="39"/>
    </row>
    <row r="145">
      <c r="F145" s="14"/>
      <c r="G145" s="39"/>
      <c r="H145" s="15"/>
      <c r="I145" s="39"/>
    </row>
    <row r="146">
      <c r="F146" s="14"/>
      <c r="G146" s="39"/>
      <c r="H146" s="15"/>
      <c r="I146" s="39"/>
    </row>
    <row r="147">
      <c r="F147" s="14"/>
      <c r="G147" s="39"/>
      <c r="H147" s="15"/>
      <c r="I147" s="39"/>
    </row>
    <row r="148">
      <c r="F148" s="14"/>
      <c r="G148" s="39"/>
      <c r="H148" s="15"/>
      <c r="I148" s="39"/>
    </row>
    <row r="149">
      <c r="F149" s="14"/>
      <c r="G149" s="39"/>
      <c r="H149" s="15"/>
      <c r="I149" s="39"/>
    </row>
    <row r="150">
      <c r="F150" s="14"/>
      <c r="G150" s="39"/>
      <c r="H150" s="15"/>
      <c r="I150" s="39"/>
    </row>
    <row r="151">
      <c r="F151" s="14"/>
      <c r="G151" s="39"/>
      <c r="H151" s="15"/>
      <c r="I151" s="39"/>
    </row>
    <row r="152">
      <c r="F152" s="14"/>
      <c r="G152" s="39"/>
      <c r="H152" s="15"/>
      <c r="I152" s="39"/>
    </row>
    <row r="153">
      <c r="F153" s="14"/>
      <c r="G153" s="39"/>
      <c r="H153" s="15"/>
      <c r="I153" s="39"/>
    </row>
    <row r="154">
      <c r="F154" s="14"/>
      <c r="G154" s="39"/>
      <c r="H154" s="15"/>
      <c r="I154" s="39"/>
    </row>
    <row r="155">
      <c r="F155" s="14"/>
      <c r="G155" s="39"/>
      <c r="H155" s="15"/>
      <c r="I155" s="39"/>
    </row>
    <row r="156">
      <c r="F156" s="14"/>
      <c r="G156" s="39"/>
      <c r="H156" s="15"/>
      <c r="I156" s="39"/>
    </row>
    <row r="157">
      <c r="F157" s="14"/>
      <c r="G157" s="39"/>
      <c r="H157" s="15"/>
      <c r="I157" s="39"/>
    </row>
    <row r="158">
      <c r="F158" s="14"/>
      <c r="G158" s="39"/>
      <c r="H158" s="15"/>
      <c r="I158" s="39"/>
    </row>
    <row r="159">
      <c r="F159" s="14"/>
      <c r="G159" s="39"/>
      <c r="H159" s="15"/>
      <c r="I159" s="39"/>
    </row>
    <row r="160">
      <c r="F160" s="14"/>
      <c r="G160" s="39"/>
      <c r="H160" s="15"/>
      <c r="I160" s="39"/>
    </row>
    <row r="161">
      <c r="F161" s="14"/>
      <c r="G161" s="39"/>
      <c r="H161" s="15"/>
      <c r="I161" s="39"/>
    </row>
    <row r="162">
      <c r="F162" s="14"/>
      <c r="G162" s="39"/>
      <c r="H162" s="15"/>
      <c r="I162" s="39"/>
    </row>
    <row r="163">
      <c r="F163" s="14"/>
      <c r="G163" s="39"/>
      <c r="H163" s="15"/>
      <c r="I163" s="39"/>
    </row>
    <row r="164">
      <c r="F164" s="14"/>
      <c r="G164" s="39"/>
      <c r="H164" s="15"/>
      <c r="I164" s="39"/>
    </row>
    <row r="165">
      <c r="F165" s="14"/>
      <c r="G165" s="39"/>
      <c r="H165" s="15"/>
      <c r="I165" s="39"/>
    </row>
    <row r="166">
      <c r="F166" s="14"/>
      <c r="G166" s="39"/>
      <c r="H166" s="15"/>
      <c r="I166" s="39"/>
    </row>
    <row r="167">
      <c r="F167" s="14"/>
      <c r="G167" s="39"/>
      <c r="H167" s="15"/>
      <c r="I167" s="39"/>
    </row>
    <row r="168">
      <c r="F168" s="14"/>
      <c r="G168" s="39"/>
      <c r="H168" s="15"/>
      <c r="I168" s="39"/>
    </row>
    <row r="169">
      <c r="F169" s="14"/>
      <c r="G169" s="39"/>
      <c r="H169" s="15"/>
      <c r="I169" s="39"/>
    </row>
    <row r="170">
      <c r="F170" s="14"/>
      <c r="G170" s="39"/>
      <c r="H170" s="15"/>
      <c r="I170" s="39"/>
    </row>
    <row r="171">
      <c r="F171" s="14"/>
      <c r="G171" s="39"/>
      <c r="H171" s="15"/>
      <c r="I171" s="39"/>
    </row>
    <row r="172">
      <c r="F172" s="14"/>
      <c r="G172" s="39"/>
      <c r="H172" s="15"/>
      <c r="I172" s="39"/>
    </row>
    <row r="173">
      <c r="F173" s="14"/>
      <c r="G173" s="39"/>
      <c r="H173" s="15"/>
      <c r="I173" s="39"/>
    </row>
    <row r="174">
      <c r="F174" s="14"/>
      <c r="G174" s="39"/>
      <c r="H174" s="15"/>
      <c r="I174" s="39"/>
    </row>
    <row r="175">
      <c r="F175" s="14"/>
      <c r="G175" s="39"/>
      <c r="H175" s="15"/>
      <c r="I175" s="39"/>
    </row>
    <row r="176">
      <c r="F176" s="14"/>
      <c r="G176" s="39"/>
      <c r="H176" s="15"/>
      <c r="I176" s="39"/>
    </row>
    <row r="177">
      <c r="F177" s="14"/>
      <c r="G177" s="39"/>
      <c r="H177" s="15"/>
      <c r="I177" s="39"/>
    </row>
    <row r="178">
      <c r="F178" s="14"/>
      <c r="G178" s="39"/>
      <c r="H178" s="15"/>
      <c r="I178" s="39"/>
    </row>
    <row r="179">
      <c r="F179" s="14"/>
      <c r="G179" s="39"/>
      <c r="H179" s="15"/>
      <c r="I179" s="39"/>
    </row>
    <row r="180">
      <c r="F180" s="14"/>
      <c r="G180" s="39"/>
      <c r="H180" s="15"/>
      <c r="I180" s="39"/>
    </row>
    <row r="181">
      <c r="F181" s="14"/>
      <c r="G181" s="39"/>
      <c r="H181" s="15"/>
      <c r="I181" s="39"/>
    </row>
    <row r="182">
      <c r="F182" s="14"/>
      <c r="G182" s="39"/>
      <c r="H182" s="15"/>
      <c r="I182" s="39"/>
    </row>
    <row r="183">
      <c r="F183" s="14"/>
      <c r="G183" s="39"/>
      <c r="H183" s="15"/>
      <c r="I183" s="39"/>
    </row>
    <row r="184">
      <c r="F184" s="14"/>
      <c r="G184" s="39"/>
      <c r="H184" s="15"/>
      <c r="I184" s="39"/>
    </row>
    <row r="185">
      <c r="F185" s="14"/>
      <c r="G185" s="39"/>
      <c r="H185" s="15"/>
      <c r="I185" s="39"/>
    </row>
    <row r="186">
      <c r="F186" s="14"/>
      <c r="G186" s="39"/>
      <c r="H186" s="15"/>
      <c r="I186" s="39"/>
    </row>
    <row r="187">
      <c r="F187" s="14"/>
      <c r="G187" s="39"/>
      <c r="H187" s="15"/>
      <c r="I187" s="39"/>
    </row>
    <row r="188">
      <c r="F188" s="14"/>
      <c r="G188" s="39"/>
      <c r="H188" s="15"/>
      <c r="I188" s="39"/>
    </row>
    <row r="189">
      <c r="F189" s="14"/>
      <c r="G189" s="39"/>
      <c r="H189" s="15"/>
      <c r="I189" s="39"/>
    </row>
    <row r="190">
      <c r="F190" s="14"/>
      <c r="G190" s="39"/>
      <c r="H190" s="15"/>
      <c r="I190" s="39"/>
    </row>
    <row r="191">
      <c r="F191" s="14"/>
      <c r="G191" s="39"/>
      <c r="H191" s="15"/>
      <c r="I191" s="39"/>
    </row>
    <row r="192">
      <c r="F192" s="14"/>
      <c r="G192" s="39"/>
      <c r="H192" s="15"/>
      <c r="I192" s="39"/>
    </row>
    <row r="193">
      <c r="F193" s="14"/>
      <c r="G193" s="39"/>
      <c r="H193" s="15"/>
      <c r="I193" s="39"/>
    </row>
    <row r="194">
      <c r="F194" s="14"/>
      <c r="G194" s="39"/>
      <c r="H194" s="15"/>
      <c r="I194" s="39"/>
    </row>
    <row r="195">
      <c r="F195" s="14"/>
      <c r="G195" s="39"/>
      <c r="H195" s="15"/>
      <c r="I195" s="39"/>
    </row>
    <row r="196">
      <c r="F196" s="14"/>
      <c r="G196" s="39"/>
      <c r="H196" s="15"/>
      <c r="I196" s="39"/>
    </row>
    <row r="197">
      <c r="F197" s="14"/>
      <c r="G197" s="39"/>
      <c r="H197" s="15"/>
      <c r="I197" s="39"/>
    </row>
    <row r="198">
      <c r="F198" s="14"/>
      <c r="G198" s="39"/>
      <c r="H198" s="15"/>
      <c r="I198" s="39"/>
    </row>
    <row r="199">
      <c r="F199" s="14"/>
      <c r="G199" s="39"/>
      <c r="H199" s="15"/>
      <c r="I199" s="39"/>
    </row>
    <row r="200">
      <c r="F200" s="14"/>
      <c r="G200" s="39"/>
      <c r="H200" s="15"/>
      <c r="I200" s="39"/>
    </row>
    <row r="201">
      <c r="F201" s="14"/>
      <c r="G201" s="39"/>
      <c r="H201" s="15"/>
      <c r="I201" s="39"/>
    </row>
    <row r="202">
      <c r="F202" s="14"/>
      <c r="G202" s="39"/>
      <c r="H202" s="15"/>
      <c r="I202" s="39"/>
    </row>
    <row r="203">
      <c r="F203" s="14"/>
      <c r="G203" s="39"/>
      <c r="H203" s="15"/>
      <c r="I203" s="39"/>
    </row>
    <row r="204">
      <c r="F204" s="14"/>
      <c r="G204" s="39"/>
      <c r="H204" s="15"/>
      <c r="I204" s="39"/>
    </row>
    <row r="205">
      <c r="F205" s="14"/>
      <c r="G205" s="39"/>
      <c r="H205" s="15"/>
      <c r="I205" s="39"/>
    </row>
    <row r="206">
      <c r="F206" s="14"/>
      <c r="G206" s="39"/>
      <c r="H206" s="15"/>
      <c r="I206" s="39"/>
    </row>
    <row r="207">
      <c r="F207" s="14"/>
      <c r="G207" s="39"/>
      <c r="H207" s="15"/>
      <c r="I207" s="39"/>
    </row>
    <row r="208">
      <c r="F208" s="14"/>
      <c r="G208" s="39"/>
      <c r="H208" s="15"/>
      <c r="I208" s="39"/>
    </row>
    <row r="209">
      <c r="F209" s="14"/>
      <c r="G209" s="39"/>
      <c r="H209" s="15"/>
      <c r="I209" s="39"/>
    </row>
    <row r="210">
      <c r="F210" s="14"/>
      <c r="G210" s="39"/>
      <c r="H210" s="15"/>
      <c r="I210" s="39"/>
    </row>
    <row r="211">
      <c r="F211" s="14"/>
      <c r="G211" s="39"/>
      <c r="H211" s="15"/>
      <c r="I211" s="39"/>
    </row>
    <row r="212">
      <c r="F212" s="14"/>
      <c r="G212" s="39"/>
      <c r="H212" s="15"/>
      <c r="I212" s="39"/>
    </row>
    <row r="213">
      <c r="F213" s="14"/>
      <c r="G213" s="39"/>
      <c r="H213" s="15"/>
      <c r="I213" s="39"/>
    </row>
    <row r="214">
      <c r="F214" s="14"/>
      <c r="G214" s="39"/>
      <c r="H214" s="15"/>
      <c r="I214" s="39"/>
    </row>
    <row r="215">
      <c r="F215" s="14"/>
      <c r="G215" s="39"/>
      <c r="H215" s="15"/>
      <c r="I215" s="39"/>
    </row>
    <row r="216">
      <c r="F216" s="14"/>
      <c r="G216" s="39"/>
      <c r="H216" s="15"/>
      <c r="I216" s="39"/>
    </row>
    <row r="217">
      <c r="F217" s="14"/>
      <c r="G217" s="39"/>
      <c r="H217" s="15"/>
      <c r="I217" s="39"/>
    </row>
    <row r="218">
      <c r="F218" s="14"/>
      <c r="G218" s="39"/>
      <c r="H218" s="15"/>
      <c r="I218" s="39"/>
    </row>
    <row r="219">
      <c r="F219" s="14"/>
      <c r="G219" s="39"/>
      <c r="H219" s="15"/>
      <c r="I219" s="39"/>
    </row>
    <row r="220">
      <c r="F220" s="14"/>
      <c r="G220" s="39"/>
      <c r="H220" s="15"/>
      <c r="I220" s="39"/>
    </row>
    <row r="221">
      <c r="F221" s="14"/>
      <c r="G221" s="39"/>
      <c r="H221" s="15"/>
      <c r="I221" s="39"/>
    </row>
    <row r="222">
      <c r="F222" s="14"/>
      <c r="G222" s="39"/>
      <c r="H222" s="15"/>
      <c r="I222" s="39"/>
    </row>
    <row r="223">
      <c r="F223" s="14"/>
      <c r="G223" s="39"/>
      <c r="H223" s="15"/>
      <c r="I223" s="39"/>
    </row>
    <row r="224">
      <c r="F224" s="14"/>
      <c r="G224" s="39"/>
      <c r="H224" s="15"/>
      <c r="I224" s="39"/>
    </row>
    <row r="225">
      <c r="F225" s="14"/>
      <c r="G225" s="39"/>
      <c r="H225" s="15"/>
      <c r="I225" s="39"/>
    </row>
    <row r="226">
      <c r="F226" s="14"/>
      <c r="G226" s="39"/>
      <c r="H226" s="15"/>
      <c r="I226" s="39"/>
    </row>
    <row r="227">
      <c r="F227" s="14"/>
      <c r="G227" s="39"/>
      <c r="H227" s="15"/>
      <c r="I227" s="39"/>
    </row>
    <row r="228">
      <c r="F228" s="14"/>
      <c r="G228" s="39"/>
      <c r="H228" s="15"/>
      <c r="I228" s="39"/>
    </row>
    <row r="229">
      <c r="F229" s="14"/>
      <c r="G229" s="39"/>
      <c r="H229" s="15"/>
      <c r="I229" s="39"/>
    </row>
    <row r="230">
      <c r="F230" s="14"/>
      <c r="G230" s="39"/>
      <c r="H230" s="15"/>
      <c r="I230" s="39"/>
    </row>
    <row r="231">
      <c r="F231" s="14"/>
      <c r="G231" s="39"/>
      <c r="H231" s="15"/>
      <c r="I231" s="39"/>
    </row>
    <row r="232">
      <c r="F232" s="14"/>
      <c r="G232" s="39"/>
      <c r="H232" s="15"/>
      <c r="I232" s="39"/>
    </row>
    <row r="233">
      <c r="F233" s="14"/>
      <c r="G233" s="39"/>
      <c r="H233" s="15"/>
      <c r="I233" s="39"/>
    </row>
    <row r="234">
      <c r="F234" s="14"/>
      <c r="G234" s="39"/>
      <c r="H234" s="15"/>
      <c r="I234" s="39"/>
    </row>
    <row r="235">
      <c r="F235" s="14"/>
      <c r="G235" s="39"/>
      <c r="H235" s="15"/>
      <c r="I235" s="39"/>
    </row>
    <row r="236">
      <c r="F236" s="14"/>
      <c r="G236" s="39"/>
      <c r="H236" s="15"/>
      <c r="I236" s="39"/>
    </row>
    <row r="237">
      <c r="F237" s="14"/>
      <c r="G237" s="39"/>
      <c r="H237" s="15"/>
      <c r="I237" s="39"/>
    </row>
    <row r="238">
      <c r="F238" s="14"/>
      <c r="G238" s="39"/>
      <c r="H238" s="15"/>
      <c r="I238" s="39"/>
    </row>
    <row r="239">
      <c r="F239" s="14"/>
      <c r="G239" s="39"/>
      <c r="H239" s="15"/>
      <c r="I239" s="39"/>
    </row>
    <row r="240">
      <c r="F240" s="14"/>
      <c r="G240" s="39"/>
      <c r="H240" s="15"/>
      <c r="I240" s="39"/>
    </row>
    <row r="241">
      <c r="F241" s="14"/>
      <c r="G241" s="39"/>
      <c r="H241" s="15"/>
      <c r="I241" s="39"/>
    </row>
    <row r="242">
      <c r="F242" s="14"/>
      <c r="G242" s="39"/>
      <c r="H242" s="15"/>
      <c r="I242" s="39"/>
    </row>
    <row r="243">
      <c r="F243" s="14"/>
      <c r="G243" s="39"/>
      <c r="H243" s="15"/>
      <c r="I243" s="39"/>
    </row>
    <row r="244">
      <c r="F244" s="14"/>
      <c r="G244" s="39"/>
      <c r="H244" s="15"/>
      <c r="I244" s="39"/>
    </row>
    <row r="245">
      <c r="F245" s="14"/>
      <c r="G245" s="39"/>
      <c r="H245" s="15"/>
      <c r="I245" s="39"/>
    </row>
    <row r="246">
      <c r="F246" s="14"/>
      <c r="G246" s="39"/>
      <c r="H246" s="15"/>
      <c r="I246" s="39"/>
    </row>
    <row r="247">
      <c r="F247" s="14"/>
      <c r="G247" s="39"/>
      <c r="H247" s="15"/>
      <c r="I247" s="39"/>
    </row>
    <row r="248">
      <c r="F248" s="14"/>
      <c r="G248" s="39"/>
      <c r="H248" s="15"/>
      <c r="I248" s="39"/>
    </row>
    <row r="249">
      <c r="F249" s="14"/>
      <c r="G249" s="39"/>
      <c r="H249" s="15"/>
      <c r="I249" s="39"/>
    </row>
    <row r="250">
      <c r="F250" s="14"/>
      <c r="G250" s="39"/>
      <c r="H250" s="15"/>
      <c r="I250" s="39"/>
    </row>
    <row r="251">
      <c r="F251" s="14"/>
      <c r="G251" s="39"/>
      <c r="H251" s="15"/>
      <c r="I251" s="39"/>
    </row>
    <row r="252">
      <c r="F252" s="14"/>
      <c r="G252" s="39"/>
      <c r="H252" s="15"/>
      <c r="I252" s="39"/>
    </row>
    <row r="253">
      <c r="F253" s="14"/>
      <c r="G253" s="39"/>
      <c r="H253" s="15"/>
      <c r="I253" s="39"/>
    </row>
    <row r="254">
      <c r="F254" s="14"/>
      <c r="G254" s="39"/>
      <c r="H254" s="15"/>
      <c r="I254" s="39"/>
    </row>
    <row r="255">
      <c r="F255" s="14"/>
      <c r="G255" s="39"/>
      <c r="H255" s="15"/>
      <c r="I255" s="39"/>
    </row>
    <row r="256">
      <c r="F256" s="14"/>
      <c r="G256" s="39"/>
      <c r="H256" s="15"/>
      <c r="I256" s="39"/>
    </row>
    <row r="257">
      <c r="F257" s="14"/>
      <c r="G257" s="39"/>
      <c r="H257" s="15"/>
      <c r="I257" s="39"/>
    </row>
    <row r="258">
      <c r="F258" s="14"/>
      <c r="G258" s="39"/>
      <c r="H258" s="15"/>
      <c r="I258" s="39"/>
    </row>
    <row r="259">
      <c r="F259" s="14"/>
      <c r="G259" s="39"/>
      <c r="H259" s="15"/>
      <c r="I259" s="39"/>
    </row>
    <row r="260">
      <c r="F260" s="14"/>
      <c r="G260" s="39"/>
      <c r="H260" s="15"/>
      <c r="I260" s="39"/>
    </row>
    <row r="261">
      <c r="F261" s="14"/>
      <c r="G261" s="39"/>
      <c r="H261" s="15"/>
      <c r="I261" s="39"/>
    </row>
    <row r="262">
      <c r="F262" s="14"/>
      <c r="G262" s="39"/>
      <c r="H262" s="15"/>
      <c r="I262" s="39"/>
    </row>
    <row r="263">
      <c r="F263" s="14"/>
      <c r="G263" s="39"/>
      <c r="H263" s="15"/>
      <c r="I263" s="39"/>
    </row>
    <row r="264">
      <c r="F264" s="14"/>
      <c r="G264" s="39"/>
      <c r="H264" s="15"/>
      <c r="I264" s="39"/>
    </row>
    <row r="265">
      <c r="F265" s="14"/>
      <c r="G265" s="39"/>
      <c r="H265" s="15"/>
      <c r="I265" s="39"/>
    </row>
    <row r="266">
      <c r="F266" s="14"/>
      <c r="G266" s="39"/>
      <c r="H266" s="15"/>
      <c r="I266" s="39"/>
    </row>
    <row r="267">
      <c r="F267" s="14"/>
      <c r="G267" s="39"/>
      <c r="H267" s="15"/>
      <c r="I267" s="39"/>
    </row>
    <row r="268">
      <c r="F268" s="14"/>
      <c r="G268" s="39"/>
      <c r="H268" s="15"/>
      <c r="I268" s="39"/>
    </row>
    <row r="269">
      <c r="F269" s="14"/>
      <c r="G269" s="39"/>
      <c r="H269" s="15"/>
      <c r="I269" s="39"/>
    </row>
    <row r="270">
      <c r="F270" s="14"/>
      <c r="G270" s="39"/>
      <c r="H270" s="15"/>
      <c r="I270" s="39"/>
    </row>
    <row r="271">
      <c r="F271" s="14"/>
      <c r="G271" s="39"/>
      <c r="H271" s="15"/>
      <c r="I271" s="39"/>
    </row>
    <row r="272">
      <c r="F272" s="14"/>
      <c r="G272" s="39"/>
      <c r="H272" s="15"/>
      <c r="I272" s="39"/>
    </row>
    <row r="273">
      <c r="F273" s="14"/>
      <c r="G273" s="39"/>
      <c r="H273" s="15"/>
      <c r="I273" s="39"/>
    </row>
    <row r="274">
      <c r="F274" s="14"/>
      <c r="G274" s="39"/>
      <c r="H274" s="15"/>
      <c r="I274" s="39"/>
    </row>
    <row r="275">
      <c r="F275" s="14"/>
      <c r="G275" s="39"/>
      <c r="H275" s="15"/>
      <c r="I275" s="39"/>
    </row>
    <row r="276">
      <c r="F276" s="14"/>
      <c r="G276" s="39"/>
      <c r="H276" s="15"/>
      <c r="I276" s="39"/>
    </row>
    <row r="277">
      <c r="F277" s="14"/>
      <c r="G277" s="39"/>
      <c r="H277" s="15"/>
      <c r="I277" s="39"/>
    </row>
    <row r="278">
      <c r="F278" s="14"/>
      <c r="G278" s="39"/>
      <c r="H278" s="15"/>
      <c r="I278" s="39"/>
    </row>
    <row r="279">
      <c r="F279" s="14"/>
      <c r="G279" s="39"/>
      <c r="H279" s="15"/>
      <c r="I279" s="39"/>
    </row>
    <row r="280">
      <c r="F280" s="14"/>
      <c r="G280" s="39"/>
      <c r="H280" s="15"/>
      <c r="I280" s="39"/>
    </row>
    <row r="281">
      <c r="F281" s="14"/>
      <c r="G281" s="39"/>
      <c r="H281" s="15"/>
      <c r="I281" s="39"/>
    </row>
    <row r="282">
      <c r="F282" s="14"/>
      <c r="G282" s="39"/>
      <c r="H282" s="15"/>
      <c r="I282" s="39"/>
    </row>
    <row r="283">
      <c r="F283" s="14"/>
      <c r="G283" s="39"/>
      <c r="H283" s="15"/>
      <c r="I283" s="39"/>
    </row>
    <row r="284">
      <c r="F284" s="14"/>
      <c r="G284" s="39"/>
      <c r="H284" s="15"/>
      <c r="I284" s="39"/>
    </row>
    <row r="285">
      <c r="F285" s="14"/>
      <c r="G285" s="39"/>
      <c r="H285" s="15"/>
      <c r="I285" s="39"/>
    </row>
    <row r="286">
      <c r="F286" s="14"/>
      <c r="G286" s="39"/>
      <c r="H286" s="15"/>
      <c r="I286" s="39"/>
    </row>
    <row r="287">
      <c r="F287" s="14"/>
      <c r="G287" s="39"/>
      <c r="H287" s="15"/>
      <c r="I287" s="39"/>
    </row>
    <row r="288">
      <c r="F288" s="14"/>
      <c r="G288" s="39"/>
      <c r="H288" s="15"/>
      <c r="I288" s="39"/>
    </row>
    <row r="289">
      <c r="F289" s="14"/>
      <c r="G289" s="39"/>
      <c r="H289" s="15"/>
      <c r="I289" s="39"/>
    </row>
    <row r="290">
      <c r="F290" s="14"/>
      <c r="G290" s="39"/>
      <c r="H290" s="15"/>
      <c r="I290" s="39"/>
    </row>
    <row r="291">
      <c r="F291" s="14"/>
      <c r="G291" s="39"/>
      <c r="H291" s="15"/>
      <c r="I291" s="39"/>
    </row>
    <row r="292">
      <c r="F292" s="14"/>
      <c r="G292" s="39"/>
      <c r="H292" s="15"/>
      <c r="I292" s="39"/>
    </row>
    <row r="293">
      <c r="F293" s="14"/>
      <c r="G293" s="39"/>
      <c r="H293" s="15"/>
      <c r="I293" s="39"/>
    </row>
    <row r="294">
      <c r="F294" s="14"/>
      <c r="G294" s="39"/>
      <c r="H294" s="15"/>
      <c r="I294" s="39"/>
    </row>
    <row r="295">
      <c r="F295" s="14"/>
      <c r="G295" s="39"/>
      <c r="H295" s="15"/>
      <c r="I295" s="39"/>
    </row>
    <row r="296">
      <c r="F296" s="14"/>
      <c r="G296" s="39"/>
      <c r="H296" s="15"/>
      <c r="I296" s="39"/>
    </row>
    <row r="297">
      <c r="F297" s="14"/>
      <c r="G297" s="39"/>
      <c r="H297" s="15"/>
      <c r="I297" s="39"/>
    </row>
    <row r="298">
      <c r="F298" s="14"/>
      <c r="G298" s="39"/>
      <c r="H298" s="15"/>
      <c r="I298" s="39"/>
    </row>
    <row r="299">
      <c r="F299" s="14"/>
      <c r="G299" s="39"/>
      <c r="H299" s="15"/>
      <c r="I299" s="39"/>
    </row>
    <row r="300">
      <c r="F300" s="14"/>
      <c r="G300" s="39"/>
      <c r="H300" s="15"/>
      <c r="I300" s="39"/>
    </row>
    <row r="301">
      <c r="F301" s="14"/>
      <c r="G301" s="39"/>
      <c r="H301" s="15"/>
      <c r="I301" s="39"/>
    </row>
    <row r="302">
      <c r="F302" s="14"/>
      <c r="G302" s="39"/>
      <c r="H302" s="15"/>
      <c r="I302" s="39"/>
    </row>
    <row r="303">
      <c r="F303" s="14"/>
      <c r="G303" s="39"/>
      <c r="H303" s="15"/>
      <c r="I303" s="39"/>
    </row>
    <row r="304">
      <c r="F304" s="14"/>
      <c r="G304" s="39"/>
      <c r="H304" s="15"/>
      <c r="I304" s="39"/>
    </row>
    <row r="305">
      <c r="F305" s="14"/>
      <c r="G305" s="39"/>
      <c r="H305" s="15"/>
      <c r="I305" s="39"/>
    </row>
    <row r="306">
      <c r="F306" s="14"/>
      <c r="G306" s="39"/>
      <c r="H306" s="15"/>
      <c r="I306" s="39"/>
    </row>
    <row r="307">
      <c r="F307" s="14"/>
      <c r="G307" s="39"/>
      <c r="H307" s="15"/>
      <c r="I307" s="39"/>
    </row>
    <row r="308">
      <c r="F308" s="14"/>
      <c r="G308" s="39"/>
      <c r="H308" s="15"/>
      <c r="I308" s="39"/>
    </row>
    <row r="309">
      <c r="F309" s="14"/>
      <c r="G309" s="39"/>
      <c r="H309" s="15"/>
      <c r="I309" s="39"/>
    </row>
    <row r="310">
      <c r="F310" s="14"/>
      <c r="G310" s="39"/>
      <c r="H310" s="15"/>
      <c r="I310" s="39"/>
    </row>
    <row r="311">
      <c r="F311" s="14"/>
      <c r="G311" s="39"/>
      <c r="H311" s="15"/>
      <c r="I311" s="39"/>
    </row>
    <row r="312">
      <c r="F312" s="14"/>
      <c r="G312" s="39"/>
      <c r="H312" s="15"/>
      <c r="I312" s="39"/>
    </row>
    <row r="313">
      <c r="F313" s="14"/>
      <c r="G313" s="39"/>
      <c r="H313" s="15"/>
      <c r="I313" s="39"/>
    </row>
    <row r="314">
      <c r="F314" s="14"/>
      <c r="G314" s="39"/>
      <c r="H314" s="15"/>
      <c r="I314" s="39"/>
    </row>
    <row r="315">
      <c r="F315" s="14"/>
      <c r="G315" s="39"/>
      <c r="H315" s="15"/>
      <c r="I315" s="39"/>
    </row>
    <row r="316">
      <c r="F316" s="14"/>
      <c r="G316" s="39"/>
      <c r="H316" s="15"/>
      <c r="I316" s="39"/>
    </row>
    <row r="317">
      <c r="F317" s="14"/>
      <c r="G317" s="39"/>
      <c r="H317" s="15"/>
      <c r="I317" s="39"/>
    </row>
    <row r="318">
      <c r="F318" s="14"/>
      <c r="G318" s="39"/>
      <c r="H318" s="15"/>
      <c r="I318" s="39"/>
    </row>
    <row r="319">
      <c r="F319" s="14"/>
      <c r="G319" s="39"/>
      <c r="H319" s="15"/>
      <c r="I319" s="39"/>
    </row>
    <row r="320">
      <c r="F320" s="14"/>
      <c r="G320" s="39"/>
      <c r="H320" s="15"/>
      <c r="I320" s="39"/>
    </row>
    <row r="321">
      <c r="F321" s="14"/>
      <c r="G321" s="39"/>
      <c r="H321" s="15"/>
      <c r="I321" s="39"/>
    </row>
    <row r="322">
      <c r="F322" s="14"/>
      <c r="G322" s="39"/>
      <c r="H322" s="15"/>
      <c r="I322" s="39"/>
    </row>
    <row r="323">
      <c r="F323" s="14"/>
      <c r="G323" s="39"/>
      <c r="H323" s="15"/>
      <c r="I323" s="39"/>
    </row>
    <row r="324">
      <c r="F324" s="14"/>
      <c r="G324" s="39"/>
      <c r="H324" s="15"/>
      <c r="I324" s="39"/>
    </row>
    <row r="325">
      <c r="F325" s="14"/>
      <c r="G325" s="39"/>
      <c r="H325" s="15"/>
      <c r="I325" s="39"/>
    </row>
    <row r="326">
      <c r="F326" s="14"/>
      <c r="G326" s="39"/>
      <c r="H326" s="15"/>
      <c r="I326" s="39"/>
    </row>
    <row r="327">
      <c r="F327" s="14"/>
      <c r="G327" s="39"/>
      <c r="H327" s="15"/>
      <c r="I327" s="39"/>
    </row>
    <row r="328">
      <c r="F328" s="14"/>
      <c r="G328" s="39"/>
      <c r="H328" s="15"/>
      <c r="I328" s="39"/>
    </row>
    <row r="329">
      <c r="F329" s="14"/>
      <c r="G329" s="39"/>
      <c r="H329" s="15"/>
      <c r="I329" s="39"/>
    </row>
    <row r="330">
      <c r="F330" s="14"/>
      <c r="G330" s="39"/>
      <c r="H330" s="15"/>
      <c r="I330" s="39"/>
    </row>
    <row r="331">
      <c r="F331" s="14"/>
      <c r="G331" s="39"/>
      <c r="H331" s="15"/>
      <c r="I331" s="39"/>
    </row>
    <row r="332">
      <c r="F332" s="14"/>
      <c r="G332" s="39"/>
      <c r="H332" s="15"/>
      <c r="I332" s="39"/>
    </row>
    <row r="333">
      <c r="F333" s="14"/>
      <c r="G333" s="39"/>
      <c r="H333" s="15"/>
      <c r="I333" s="39"/>
    </row>
    <row r="334">
      <c r="F334" s="14"/>
      <c r="G334" s="39"/>
      <c r="H334" s="15"/>
      <c r="I334" s="39"/>
    </row>
    <row r="335">
      <c r="F335" s="14"/>
      <c r="G335" s="39"/>
      <c r="H335" s="15"/>
      <c r="I335" s="39"/>
    </row>
    <row r="336">
      <c r="F336" s="14"/>
      <c r="G336" s="39"/>
      <c r="H336" s="15"/>
      <c r="I336" s="39"/>
    </row>
    <row r="337">
      <c r="F337" s="14"/>
      <c r="G337" s="39"/>
      <c r="H337" s="15"/>
      <c r="I337" s="39"/>
    </row>
    <row r="338">
      <c r="F338" s="14"/>
      <c r="G338" s="39"/>
      <c r="H338" s="15"/>
      <c r="I338" s="39"/>
    </row>
    <row r="339">
      <c r="F339" s="14"/>
      <c r="G339" s="39"/>
      <c r="H339" s="15"/>
      <c r="I339" s="39"/>
    </row>
    <row r="340">
      <c r="F340" s="14"/>
      <c r="G340" s="39"/>
      <c r="H340" s="15"/>
      <c r="I340" s="39"/>
    </row>
    <row r="341">
      <c r="F341" s="14"/>
      <c r="G341" s="39"/>
      <c r="H341" s="15"/>
      <c r="I341" s="39"/>
    </row>
    <row r="342">
      <c r="F342" s="14"/>
      <c r="G342" s="39"/>
      <c r="H342" s="15"/>
      <c r="I342" s="39"/>
    </row>
    <row r="343">
      <c r="F343" s="14"/>
      <c r="G343" s="39"/>
      <c r="H343" s="15"/>
      <c r="I343" s="39"/>
    </row>
    <row r="344">
      <c r="F344" s="14"/>
      <c r="G344" s="39"/>
      <c r="H344" s="15"/>
      <c r="I344" s="39"/>
    </row>
    <row r="345">
      <c r="F345" s="14"/>
      <c r="G345" s="39"/>
      <c r="H345" s="15"/>
      <c r="I345" s="39"/>
    </row>
    <row r="346">
      <c r="F346" s="14"/>
      <c r="G346" s="39"/>
      <c r="H346" s="15"/>
      <c r="I346" s="39"/>
    </row>
    <row r="347">
      <c r="F347" s="14"/>
      <c r="G347" s="39"/>
      <c r="H347" s="15"/>
      <c r="I347" s="39"/>
    </row>
    <row r="348">
      <c r="F348" s="14"/>
      <c r="G348" s="39"/>
      <c r="H348" s="15"/>
      <c r="I348" s="39"/>
    </row>
    <row r="349">
      <c r="F349" s="14"/>
      <c r="G349" s="39"/>
      <c r="H349" s="15"/>
      <c r="I349" s="39"/>
    </row>
    <row r="350">
      <c r="F350" s="14"/>
      <c r="G350" s="39"/>
      <c r="H350" s="15"/>
      <c r="I350" s="39"/>
    </row>
    <row r="351">
      <c r="F351" s="14"/>
      <c r="G351" s="39"/>
      <c r="H351" s="15"/>
      <c r="I351" s="39"/>
    </row>
    <row r="352">
      <c r="F352" s="14"/>
      <c r="G352" s="39"/>
      <c r="H352" s="15"/>
      <c r="I352" s="39"/>
    </row>
    <row r="353">
      <c r="F353" s="14"/>
      <c r="G353" s="39"/>
      <c r="H353" s="15"/>
      <c r="I353" s="39"/>
    </row>
    <row r="354">
      <c r="F354" s="14"/>
      <c r="G354" s="39"/>
      <c r="H354" s="15"/>
      <c r="I354" s="39"/>
    </row>
    <row r="355">
      <c r="F355" s="14"/>
      <c r="G355" s="39"/>
      <c r="H355" s="15"/>
      <c r="I355" s="39"/>
    </row>
    <row r="356">
      <c r="F356" s="14"/>
      <c r="G356" s="39"/>
      <c r="H356" s="15"/>
      <c r="I356" s="39"/>
    </row>
    <row r="357">
      <c r="F357" s="14"/>
      <c r="G357" s="39"/>
      <c r="H357" s="15"/>
      <c r="I357" s="39"/>
    </row>
    <row r="358">
      <c r="F358" s="14"/>
      <c r="G358" s="39"/>
      <c r="H358" s="15"/>
      <c r="I358" s="39"/>
    </row>
    <row r="359">
      <c r="F359" s="14"/>
      <c r="G359" s="39"/>
      <c r="H359" s="15"/>
      <c r="I359" s="39"/>
    </row>
    <row r="360">
      <c r="F360" s="14"/>
      <c r="G360" s="39"/>
      <c r="H360" s="15"/>
      <c r="I360" s="39"/>
    </row>
    <row r="361">
      <c r="F361" s="14"/>
      <c r="G361" s="39"/>
      <c r="H361" s="15"/>
      <c r="I361" s="39"/>
    </row>
    <row r="362">
      <c r="F362" s="14"/>
      <c r="G362" s="39"/>
      <c r="H362" s="15"/>
      <c r="I362" s="39"/>
    </row>
    <row r="363">
      <c r="F363" s="14"/>
      <c r="G363" s="39"/>
      <c r="H363" s="15"/>
      <c r="I363" s="39"/>
    </row>
    <row r="364">
      <c r="F364" s="14"/>
      <c r="G364" s="39"/>
      <c r="H364" s="15"/>
      <c r="I364" s="39"/>
    </row>
    <row r="365">
      <c r="F365" s="14"/>
      <c r="G365" s="39"/>
      <c r="H365" s="15"/>
      <c r="I365" s="39"/>
    </row>
    <row r="366">
      <c r="F366" s="14"/>
      <c r="G366" s="39"/>
      <c r="H366" s="15"/>
      <c r="I366" s="39"/>
    </row>
    <row r="367">
      <c r="F367" s="14"/>
      <c r="G367" s="39"/>
      <c r="H367" s="15"/>
      <c r="I367" s="39"/>
    </row>
    <row r="368">
      <c r="F368" s="14"/>
      <c r="G368" s="39"/>
      <c r="H368" s="15"/>
      <c r="I368" s="39"/>
    </row>
    <row r="369">
      <c r="F369" s="14"/>
      <c r="G369" s="39"/>
      <c r="H369" s="15"/>
      <c r="I369" s="39"/>
    </row>
    <row r="370">
      <c r="F370" s="14"/>
      <c r="G370" s="39"/>
      <c r="H370" s="15"/>
      <c r="I370" s="39"/>
    </row>
    <row r="371">
      <c r="F371" s="14"/>
      <c r="G371" s="39"/>
      <c r="H371" s="15"/>
      <c r="I371" s="39"/>
    </row>
    <row r="372">
      <c r="F372" s="14"/>
      <c r="G372" s="39"/>
      <c r="H372" s="15"/>
      <c r="I372" s="39"/>
    </row>
    <row r="373">
      <c r="F373" s="14"/>
      <c r="G373" s="39"/>
      <c r="H373" s="15"/>
      <c r="I373" s="39"/>
    </row>
    <row r="374">
      <c r="F374" s="14"/>
      <c r="G374" s="39"/>
      <c r="H374" s="15"/>
      <c r="I374" s="39"/>
    </row>
    <row r="375">
      <c r="F375" s="14"/>
      <c r="G375" s="39"/>
      <c r="H375" s="15"/>
      <c r="I375" s="39"/>
    </row>
    <row r="376">
      <c r="F376" s="14"/>
      <c r="G376" s="39"/>
      <c r="H376" s="15"/>
      <c r="I376" s="39"/>
    </row>
    <row r="377">
      <c r="F377" s="14"/>
      <c r="G377" s="39"/>
      <c r="H377" s="15"/>
      <c r="I377" s="39"/>
    </row>
    <row r="378">
      <c r="F378" s="14"/>
      <c r="G378" s="39"/>
      <c r="H378" s="15"/>
      <c r="I378" s="39"/>
    </row>
    <row r="379">
      <c r="F379" s="14"/>
      <c r="G379" s="39"/>
      <c r="H379" s="15"/>
      <c r="I379" s="39"/>
    </row>
    <row r="380">
      <c r="F380" s="14"/>
      <c r="G380" s="39"/>
      <c r="H380" s="15"/>
      <c r="I380" s="39"/>
    </row>
    <row r="381">
      <c r="F381" s="14"/>
      <c r="G381" s="39"/>
      <c r="H381" s="15"/>
      <c r="I381" s="39"/>
    </row>
    <row r="382">
      <c r="F382" s="14"/>
      <c r="G382" s="39"/>
      <c r="H382" s="15"/>
      <c r="I382" s="39"/>
    </row>
    <row r="383">
      <c r="F383" s="14"/>
      <c r="G383" s="39"/>
      <c r="H383" s="15"/>
      <c r="I383" s="39"/>
    </row>
    <row r="384">
      <c r="F384" s="14"/>
      <c r="G384" s="39"/>
      <c r="H384" s="15"/>
      <c r="I384" s="39"/>
    </row>
    <row r="385">
      <c r="F385" s="14"/>
      <c r="G385" s="39"/>
      <c r="H385" s="15"/>
      <c r="I385" s="39"/>
    </row>
    <row r="386">
      <c r="F386" s="14"/>
      <c r="G386" s="39"/>
      <c r="H386" s="15"/>
      <c r="I386" s="39"/>
    </row>
    <row r="387">
      <c r="F387" s="14"/>
      <c r="G387" s="39"/>
      <c r="H387" s="15"/>
      <c r="I387" s="39"/>
    </row>
    <row r="388">
      <c r="F388" s="14"/>
      <c r="G388" s="39"/>
      <c r="H388" s="15"/>
      <c r="I388" s="39"/>
    </row>
    <row r="389">
      <c r="F389" s="14"/>
      <c r="G389" s="39"/>
      <c r="H389" s="15"/>
      <c r="I389" s="39"/>
    </row>
    <row r="390">
      <c r="F390" s="14"/>
      <c r="G390" s="39"/>
      <c r="H390" s="15"/>
      <c r="I390" s="39"/>
    </row>
    <row r="391">
      <c r="F391" s="14"/>
      <c r="G391" s="39"/>
      <c r="H391" s="15"/>
      <c r="I391" s="39"/>
    </row>
    <row r="392">
      <c r="F392" s="14"/>
      <c r="G392" s="39"/>
      <c r="H392" s="15"/>
      <c r="I392" s="39"/>
    </row>
    <row r="393">
      <c r="F393" s="14"/>
      <c r="G393" s="39"/>
      <c r="H393" s="15"/>
      <c r="I393" s="39"/>
    </row>
    <row r="394">
      <c r="F394" s="14"/>
      <c r="G394" s="39"/>
      <c r="H394" s="15"/>
      <c r="I394" s="39"/>
    </row>
    <row r="395">
      <c r="F395" s="14"/>
      <c r="G395" s="39"/>
      <c r="H395" s="15"/>
      <c r="I395" s="39"/>
    </row>
    <row r="396">
      <c r="F396" s="14"/>
      <c r="G396" s="39"/>
      <c r="H396" s="15"/>
      <c r="I396" s="39"/>
    </row>
    <row r="397">
      <c r="F397" s="14"/>
      <c r="G397" s="39"/>
      <c r="H397" s="15"/>
      <c r="I397" s="39"/>
    </row>
    <row r="398">
      <c r="F398" s="14"/>
      <c r="G398" s="39"/>
      <c r="H398" s="15"/>
      <c r="I398" s="39"/>
    </row>
    <row r="399">
      <c r="F399" s="14"/>
      <c r="G399" s="39"/>
      <c r="H399" s="15"/>
      <c r="I399" s="39"/>
    </row>
    <row r="400">
      <c r="F400" s="14"/>
      <c r="G400" s="39"/>
      <c r="H400" s="15"/>
      <c r="I400" s="39"/>
    </row>
    <row r="401">
      <c r="F401" s="14"/>
      <c r="G401" s="39"/>
      <c r="H401" s="15"/>
      <c r="I401" s="39"/>
    </row>
    <row r="402">
      <c r="F402" s="14"/>
      <c r="G402" s="39"/>
      <c r="H402" s="15"/>
      <c r="I402" s="39"/>
    </row>
    <row r="403">
      <c r="F403" s="14"/>
      <c r="G403" s="39"/>
      <c r="H403" s="15"/>
      <c r="I403" s="39"/>
    </row>
    <row r="404">
      <c r="F404" s="14"/>
      <c r="G404" s="39"/>
      <c r="H404" s="15"/>
      <c r="I404" s="39"/>
    </row>
    <row r="405">
      <c r="F405" s="14"/>
      <c r="G405" s="39"/>
      <c r="H405" s="15"/>
      <c r="I405" s="39"/>
    </row>
    <row r="406">
      <c r="F406" s="14"/>
      <c r="G406" s="39"/>
      <c r="H406" s="15"/>
      <c r="I406" s="39"/>
    </row>
    <row r="407">
      <c r="F407" s="14"/>
      <c r="G407" s="39"/>
      <c r="H407" s="15"/>
      <c r="I407" s="39"/>
    </row>
    <row r="408">
      <c r="F408" s="14"/>
      <c r="G408" s="39"/>
      <c r="H408" s="15"/>
      <c r="I408" s="39"/>
    </row>
    <row r="409">
      <c r="F409" s="14"/>
      <c r="G409" s="39"/>
      <c r="H409" s="15"/>
      <c r="I409" s="39"/>
    </row>
    <row r="410">
      <c r="F410" s="14"/>
      <c r="G410" s="39"/>
      <c r="H410" s="15"/>
      <c r="I410" s="39"/>
    </row>
    <row r="411">
      <c r="F411" s="14"/>
      <c r="G411" s="39"/>
      <c r="H411" s="15"/>
      <c r="I411" s="39"/>
    </row>
    <row r="412">
      <c r="F412" s="14"/>
      <c r="G412" s="39"/>
      <c r="H412" s="15"/>
      <c r="I412" s="39"/>
    </row>
    <row r="413">
      <c r="F413" s="14"/>
      <c r="G413" s="39"/>
      <c r="H413" s="15"/>
      <c r="I413" s="39"/>
    </row>
    <row r="414">
      <c r="F414" s="14"/>
      <c r="G414" s="39"/>
      <c r="H414" s="15"/>
      <c r="I414" s="39"/>
    </row>
    <row r="415">
      <c r="F415" s="14"/>
      <c r="G415" s="39"/>
      <c r="H415" s="15"/>
      <c r="I415" s="39"/>
    </row>
    <row r="416">
      <c r="F416" s="14"/>
      <c r="G416" s="39"/>
      <c r="H416" s="15"/>
      <c r="I416" s="39"/>
    </row>
    <row r="417">
      <c r="F417" s="14"/>
      <c r="G417" s="39"/>
      <c r="H417" s="15"/>
      <c r="I417" s="39"/>
    </row>
    <row r="418">
      <c r="F418" s="14"/>
      <c r="G418" s="39"/>
      <c r="H418" s="15"/>
      <c r="I418" s="39"/>
    </row>
    <row r="419">
      <c r="F419" s="14"/>
      <c r="G419" s="39"/>
      <c r="H419" s="15"/>
      <c r="I419" s="39"/>
    </row>
    <row r="420">
      <c r="F420" s="14"/>
      <c r="G420" s="39"/>
      <c r="H420" s="15"/>
      <c r="I420" s="39"/>
    </row>
    <row r="421">
      <c r="F421" s="14"/>
      <c r="G421" s="39"/>
      <c r="H421" s="15"/>
      <c r="I421" s="39"/>
    </row>
    <row r="422">
      <c r="F422" s="14"/>
      <c r="G422" s="39"/>
      <c r="H422" s="15"/>
      <c r="I422" s="39"/>
    </row>
    <row r="423">
      <c r="F423" s="14"/>
      <c r="G423" s="39"/>
      <c r="H423" s="15"/>
      <c r="I423" s="39"/>
    </row>
    <row r="424">
      <c r="F424" s="14"/>
      <c r="G424" s="39"/>
      <c r="H424" s="15"/>
      <c r="I424" s="39"/>
    </row>
    <row r="425">
      <c r="F425" s="14"/>
      <c r="G425" s="39"/>
      <c r="H425" s="15"/>
      <c r="I425" s="39"/>
    </row>
    <row r="426">
      <c r="F426" s="14"/>
      <c r="G426" s="39"/>
      <c r="H426" s="15"/>
      <c r="I426" s="39"/>
    </row>
    <row r="427">
      <c r="F427" s="14"/>
      <c r="G427" s="39"/>
      <c r="H427" s="15"/>
      <c r="I427" s="39"/>
    </row>
    <row r="428">
      <c r="F428" s="14"/>
      <c r="G428" s="39"/>
      <c r="H428" s="15"/>
      <c r="I428" s="39"/>
    </row>
    <row r="429">
      <c r="F429" s="14"/>
      <c r="G429" s="39"/>
      <c r="H429" s="15"/>
      <c r="I429" s="39"/>
    </row>
    <row r="430">
      <c r="F430" s="14"/>
      <c r="G430" s="39"/>
      <c r="H430" s="15"/>
      <c r="I430" s="39"/>
    </row>
    <row r="431">
      <c r="F431" s="14"/>
      <c r="G431" s="39"/>
      <c r="H431" s="15"/>
      <c r="I431" s="39"/>
    </row>
    <row r="432">
      <c r="F432" s="14"/>
      <c r="G432" s="39"/>
      <c r="H432" s="15"/>
      <c r="I432" s="39"/>
    </row>
    <row r="433">
      <c r="F433" s="14"/>
      <c r="G433" s="39"/>
      <c r="H433" s="15"/>
      <c r="I433" s="39"/>
    </row>
    <row r="434">
      <c r="F434" s="14"/>
      <c r="G434" s="39"/>
      <c r="H434" s="15"/>
      <c r="I434" s="39"/>
    </row>
    <row r="435">
      <c r="F435" s="14"/>
      <c r="G435" s="39"/>
      <c r="H435" s="15"/>
      <c r="I435" s="39"/>
    </row>
    <row r="436">
      <c r="F436" s="14"/>
      <c r="G436" s="39"/>
      <c r="H436" s="15"/>
      <c r="I436" s="39"/>
    </row>
    <row r="437">
      <c r="F437" s="14"/>
      <c r="G437" s="39"/>
      <c r="H437" s="15"/>
      <c r="I437" s="39"/>
    </row>
    <row r="438">
      <c r="F438" s="14"/>
      <c r="G438" s="39"/>
      <c r="H438" s="15"/>
      <c r="I438" s="39"/>
    </row>
    <row r="439">
      <c r="F439" s="14"/>
      <c r="G439" s="39"/>
      <c r="H439" s="15"/>
      <c r="I439" s="39"/>
    </row>
    <row r="440">
      <c r="F440" s="14"/>
      <c r="G440" s="39"/>
      <c r="H440" s="15"/>
      <c r="I440" s="39"/>
    </row>
    <row r="441">
      <c r="F441" s="14"/>
      <c r="G441" s="39"/>
      <c r="H441" s="15"/>
      <c r="I441" s="39"/>
    </row>
    <row r="442">
      <c r="F442" s="14"/>
      <c r="G442" s="39"/>
      <c r="H442" s="15"/>
      <c r="I442" s="39"/>
    </row>
    <row r="443">
      <c r="F443" s="14"/>
      <c r="G443" s="39"/>
      <c r="H443" s="15"/>
      <c r="I443" s="39"/>
    </row>
    <row r="444">
      <c r="F444" s="14"/>
      <c r="G444" s="39"/>
      <c r="H444" s="15"/>
      <c r="I444" s="39"/>
    </row>
    <row r="445">
      <c r="F445" s="14"/>
      <c r="G445" s="39"/>
      <c r="H445" s="15"/>
      <c r="I445" s="39"/>
    </row>
    <row r="446">
      <c r="F446" s="14"/>
      <c r="G446" s="39"/>
      <c r="H446" s="15"/>
      <c r="I446" s="39"/>
    </row>
    <row r="447">
      <c r="F447" s="14"/>
      <c r="G447" s="39"/>
      <c r="H447" s="15"/>
      <c r="I447" s="39"/>
    </row>
    <row r="448">
      <c r="F448" s="14"/>
      <c r="G448" s="39"/>
      <c r="H448" s="15"/>
      <c r="I448" s="39"/>
    </row>
    <row r="449">
      <c r="F449" s="14"/>
      <c r="G449" s="39"/>
      <c r="H449" s="15"/>
      <c r="I449" s="39"/>
    </row>
    <row r="450">
      <c r="F450" s="14"/>
      <c r="G450" s="39"/>
      <c r="H450" s="15"/>
      <c r="I450" s="39"/>
    </row>
    <row r="451">
      <c r="F451" s="14"/>
      <c r="G451" s="39"/>
      <c r="H451" s="15"/>
      <c r="I451" s="39"/>
    </row>
    <row r="452">
      <c r="F452" s="14"/>
      <c r="G452" s="39"/>
      <c r="H452" s="15"/>
      <c r="I452" s="39"/>
    </row>
    <row r="453">
      <c r="F453" s="14"/>
      <c r="G453" s="39"/>
      <c r="H453" s="15"/>
      <c r="I453" s="39"/>
    </row>
    <row r="454">
      <c r="F454" s="14"/>
      <c r="G454" s="39"/>
      <c r="H454" s="15"/>
      <c r="I454" s="39"/>
    </row>
    <row r="455">
      <c r="F455" s="14"/>
      <c r="G455" s="39"/>
      <c r="H455" s="15"/>
      <c r="I455" s="39"/>
    </row>
    <row r="456">
      <c r="F456" s="14"/>
      <c r="G456" s="39"/>
      <c r="H456" s="15"/>
      <c r="I456" s="39"/>
    </row>
    <row r="457">
      <c r="F457" s="14"/>
      <c r="G457" s="39"/>
      <c r="H457" s="15"/>
      <c r="I457" s="39"/>
    </row>
    <row r="458">
      <c r="F458" s="14"/>
      <c r="G458" s="39"/>
      <c r="H458" s="15"/>
      <c r="I458" s="39"/>
    </row>
    <row r="459">
      <c r="F459" s="14"/>
      <c r="G459" s="39"/>
      <c r="H459" s="15"/>
      <c r="I459" s="39"/>
    </row>
    <row r="460">
      <c r="F460" s="14"/>
      <c r="G460" s="39"/>
      <c r="H460" s="15"/>
      <c r="I460" s="39"/>
    </row>
    <row r="461">
      <c r="F461" s="14"/>
      <c r="G461" s="39"/>
      <c r="H461" s="15"/>
      <c r="I461" s="39"/>
    </row>
    <row r="462">
      <c r="F462" s="14"/>
      <c r="G462" s="39"/>
      <c r="H462" s="15"/>
      <c r="I462" s="39"/>
    </row>
    <row r="463">
      <c r="F463" s="14"/>
      <c r="G463" s="39"/>
      <c r="H463" s="15"/>
      <c r="I463" s="39"/>
    </row>
    <row r="464">
      <c r="F464" s="14"/>
      <c r="G464" s="39"/>
      <c r="H464" s="15"/>
      <c r="I464" s="39"/>
    </row>
    <row r="465">
      <c r="F465" s="14"/>
      <c r="G465" s="39"/>
      <c r="H465" s="15"/>
      <c r="I465" s="39"/>
    </row>
    <row r="466">
      <c r="F466" s="14"/>
      <c r="G466" s="39"/>
      <c r="H466" s="15"/>
      <c r="I466" s="39"/>
    </row>
    <row r="467">
      <c r="F467" s="14"/>
      <c r="G467" s="39"/>
      <c r="H467" s="15"/>
      <c r="I467" s="39"/>
    </row>
    <row r="468">
      <c r="F468" s="14"/>
      <c r="G468" s="39"/>
      <c r="H468" s="15"/>
      <c r="I468" s="39"/>
    </row>
    <row r="469">
      <c r="F469" s="14"/>
      <c r="G469" s="39"/>
      <c r="H469" s="15"/>
      <c r="I469" s="39"/>
    </row>
    <row r="470">
      <c r="F470" s="14"/>
      <c r="G470" s="39"/>
      <c r="H470" s="15"/>
      <c r="I470" s="39"/>
    </row>
    <row r="471">
      <c r="F471" s="14"/>
      <c r="G471" s="39"/>
      <c r="H471" s="15"/>
      <c r="I471" s="39"/>
    </row>
    <row r="472">
      <c r="F472" s="14"/>
      <c r="G472" s="39"/>
      <c r="H472" s="15"/>
      <c r="I472" s="39"/>
    </row>
    <row r="473">
      <c r="F473" s="14"/>
      <c r="G473" s="39"/>
      <c r="H473" s="15"/>
      <c r="I473" s="39"/>
    </row>
    <row r="474">
      <c r="F474" s="14"/>
      <c r="G474" s="39"/>
      <c r="H474" s="15"/>
      <c r="I474" s="39"/>
    </row>
    <row r="475">
      <c r="F475" s="14"/>
      <c r="G475" s="39"/>
      <c r="H475" s="15"/>
      <c r="I475" s="39"/>
    </row>
    <row r="476">
      <c r="F476" s="14"/>
      <c r="G476" s="39"/>
      <c r="H476" s="15"/>
      <c r="I476" s="39"/>
    </row>
    <row r="477">
      <c r="F477" s="14"/>
      <c r="G477" s="39"/>
      <c r="H477" s="15"/>
      <c r="I477" s="39"/>
    </row>
    <row r="478">
      <c r="F478" s="14"/>
      <c r="G478" s="39"/>
      <c r="H478" s="15"/>
      <c r="I478" s="39"/>
    </row>
    <row r="479">
      <c r="F479" s="14"/>
      <c r="G479" s="39"/>
      <c r="H479" s="15"/>
      <c r="I479" s="39"/>
    </row>
    <row r="480">
      <c r="F480" s="14"/>
      <c r="G480" s="39"/>
      <c r="H480" s="15"/>
      <c r="I480" s="39"/>
    </row>
    <row r="481">
      <c r="F481" s="14"/>
      <c r="G481" s="39"/>
      <c r="H481" s="15"/>
      <c r="I481" s="39"/>
    </row>
    <row r="482">
      <c r="F482" s="14"/>
      <c r="G482" s="39"/>
      <c r="H482" s="15"/>
      <c r="I482" s="39"/>
    </row>
    <row r="483">
      <c r="F483" s="14"/>
      <c r="G483" s="39"/>
      <c r="H483" s="15"/>
      <c r="I483" s="39"/>
    </row>
    <row r="484">
      <c r="F484" s="14"/>
      <c r="G484" s="39"/>
      <c r="H484" s="15"/>
      <c r="I484" s="39"/>
    </row>
    <row r="485">
      <c r="F485" s="14"/>
      <c r="G485" s="39"/>
      <c r="H485" s="15"/>
      <c r="I485" s="39"/>
    </row>
    <row r="486">
      <c r="F486" s="14"/>
      <c r="G486" s="39"/>
      <c r="H486" s="15"/>
      <c r="I486" s="39"/>
    </row>
    <row r="487">
      <c r="F487" s="14"/>
      <c r="G487" s="39"/>
      <c r="H487" s="15"/>
      <c r="I487" s="39"/>
    </row>
    <row r="488">
      <c r="F488" s="14"/>
      <c r="G488" s="39"/>
      <c r="H488" s="15"/>
      <c r="I488" s="39"/>
    </row>
    <row r="489">
      <c r="F489" s="14"/>
      <c r="G489" s="39"/>
      <c r="H489" s="15"/>
      <c r="I489" s="39"/>
    </row>
    <row r="490">
      <c r="F490" s="14"/>
      <c r="G490" s="39"/>
      <c r="H490" s="15"/>
      <c r="I490" s="39"/>
    </row>
    <row r="491">
      <c r="F491" s="14"/>
      <c r="G491" s="39"/>
      <c r="H491" s="15"/>
      <c r="I491" s="39"/>
    </row>
    <row r="492">
      <c r="F492" s="14"/>
      <c r="G492" s="39"/>
      <c r="H492" s="15"/>
      <c r="I492" s="39"/>
    </row>
    <row r="493">
      <c r="F493" s="14"/>
      <c r="G493" s="39"/>
      <c r="H493" s="15"/>
      <c r="I493" s="39"/>
    </row>
    <row r="494">
      <c r="F494" s="14"/>
      <c r="G494" s="39"/>
      <c r="H494" s="15"/>
      <c r="I494" s="39"/>
    </row>
    <row r="495">
      <c r="F495" s="14"/>
      <c r="G495" s="39"/>
      <c r="H495" s="15"/>
      <c r="I495" s="39"/>
    </row>
    <row r="496">
      <c r="F496" s="14"/>
      <c r="G496" s="39"/>
      <c r="H496" s="15"/>
      <c r="I496" s="39"/>
    </row>
    <row r="497">
      <c r="F497" s="14"/>
      <c r="G497" s="39"/>
      <c r="H497" s="15"/>
      <c r="I497" s="39"/>
    </row>
    <row r="498">
      <c r="F498" s="14"/>
      <c r="G498" s="39"/>
      <c r="H498" s="15"/>
      <c r="I498" s="39"/>
    </row>
    <row r="499">
      <c r="F499" s="14"/>
      <c r="G499" s="39"/>
      <c r="H499" s="15"/>
      <c r="I499" s="39"/>
    </row>
    <row r="500">
      <c r="F500" s="14"/>
      <c r="G500" s="39"/>
      <c r="H500" s="15"/>
      <c r="I500" s="39"/>
    </row>
    <row r="501">
      <c r="F501" s="14"/>
      <c r="G501" s="39"/>
      <c r="H501" s="15"/>
      <c r="I501" s="39"/>
    </row>
    <row r="502">
      <c r="F502" s="14"/>
      <c r="G502" s="39"/>
      <c r="H502" s="15"/>
      <c r="I502" s="39"/>
    </row>
    <row r="503">
      <c r="F503" s="14"/>
      <c r="G503" s="39"/>
      <c r="H503" s="15"/>
      <c r="I503" s="39"/>
    </row>
    <row r="504">
      <c r="F504" s="14"/>
      <c r="G504" s="39"/>
      <c r="H504" s="15"/>
      <c r="I504" s="39"/>
    </row>
    <row r="505">
      <c r="F505" s="14"/>
      <c r="G505" s="39"/>
      <c r="H505" s="15"/>
      <c r="I505" s="39"/>
    </row>
    <row r="506">
      <c r="F506" s="14"/>
      <c r="G506" s="39"/>
      <c r="H506" s="15"/>
      <c r="I506" s="39"/>
    </row>
    <row r="507">
      <c r="F507" s="14"/>
      <c r="G507" s="39"/>
      <c r="H507" s="15"/>
      <c r="I507" s="39"/>
    </row>
    <row r="508">
      <c r="F508" s="14"/>
      <c r="G508" s="39"/>
      <c r="H508" s="15"/>
      <c r="I508" s="39"/>
    </row>
    <row r="509">
      <c r="F509" s="14"/>
      <c r="G509" s="39"/>
      <c r="H509" s="15"/>
      <c r="I509" s="39"/>
    </row>
    <row r="510">
      <c r="F510" s="14"/>
      <c r="G510" s="39"/>
      <c r="H510" s="15"/>
      <c r="I510" s="39"/>
    </row>
    <row r="511">
      <c r="F511" s="14"/>
      <c r="G511" s="39"/>
      <c r="H511" s="15"/>
      <c r="I511" s="39"/>
    </row>
    <row r="512">
      <c r="F512" s="14"/>
      <c r="G512" s="39"/>
      <c r="H512" s="15"/>
      <c r="I512" s="39"/>
    </row>
    <row r="513">
      <c r="F513" s="14"/>
      <c r="G513" s="39"/>
      <c r="H513" s="15"/>
      <c r="I513" s="39"/>
    </row>
    <row r="514">
      <c r="F514" s="14"/>
      <c r="G514" s="39"/>
      <c r="H514" s="15"/>
      <c r="I514" s="39"/>
    </row>
    <row r="515">
      <c r="F515" s="14"/>
      <c r="G515" s="39"/>
      <c r="H515" s="15"/>
      <c r="I515" s="39"/>
    </row>
    <row r="516">
      <c r="F516" s="14"/>
      <c r="G516" s="39"/>
      <c r="H516" s="15"/>
      <c r="I516" s="39"/>
    </row>
    <row r="517">
      <c r="F517" s="14"/>
      <c r="G517" s="39"/>
      <c r="H517" s="15"/>
      <c r="I517" s="39"/>
    </row>
    <row r="518">
      <c r="F518" s="14"/>
      <c r="G518" s="39"/>
      <c r="H518" s="15"/>
      <c r="I518" s="39"/>
    </row>
    <row r="519">
      <c r="F519" s="14"/>
      <c r="G519" s="39"/>
      <c r="H519" s="15"/>
      <c r="I519" s="39"/>
    </row>
    <row r="520">
      <c r="F520" s="14"/>
      <c r="G520" s="39"/>
      <c r="H520" s="15"/>
      <c r="I520" s="39"/>
    </row>
    <row r="521">
      <c r="F521" s="14"/>
      <c r="G521" s="39"/>
      <c r="H521" s="15"/>
      <c r="I521" s="39"/>
    </row>
    <row r="522">
      <c r="F522" s="14"/>
      <c r="G522" s="39"/>
      <c r="H522" s="15"/>
      <c r="I522" s="39"/>
    </row>
    <row r="523">
      <c r="F523" s="14"/>
      <c r="G523" s="39"/>
      <c r="H523" s="15"/>
      <c r="I523" s="39"/>
    </row>
    <row r="524">
      <c r="F524" s="14"/>
      <c r="G524" s="39"/>
      <c r="H524" s="15"/>
      <c r="I524" s="39"/>
    </row>
    <row r="525">
      <c r="F525" s="14"/>
      <c r="G525" s="39"/>
      <c r="H525" s="15"/>
      <c r="I525" s="39"/>
    </row>
    <row r="526">
      <c r="F526" s="14"/>
      <c r="G526" s="39"/>
      <c r="H526" s="15"/>
      <c r="I526" s="39"/>
    </row>
    <row r="527">
      <c r="F527" s="14"/>
      <c r="G527" s="39"/>
      <c r="H527" s="15"/>
      <c r="I527" s="39"/>
    </row>
    <row r="528">
      <c r="F528" s="14"/>
      <c r="G528" s="39"/>
      <c r="H528" s="15"/>
      <c r="I528" s="39"/>
    </row>
    <row r="529">
      <c r="F529" s="14"/>
      <c r="G529" s="39"/>
      <c r="H529" s="15"/>
      <c r="I529" s="39"/>
    </row>
    <row r="530">
      <c r="F530" s="14"/>
      <c r="G530" s="39"/>
      <c r="H530" s="15"/>
      <c r="I530" s="39"/>
    </row>
    <row r="531">
      <c r="F531" s="14"/>
      <c r="G531" s="39"/>
      <c r="H531" s="15"/>
      <c r="I531" s="39"/>
    </row>
    <row r="532">
      <c r="F532" s="14"/>
      <c r="G532" s="39"/>
      <c r="H532" s="15"/>
      <c r="I532" s="39"/>
    </row>
    <row r="533">
      <c r="F533" s="14"/>
      <c r="G533" s="39"/>
      <c r="H533" s="15"/>
      <c r="I533" s="39"/>
    </row>
    <row r="534">
      <c r="F534" s="14"/>
      <c r="G534" s="39"/>
      <c r="H534" s="15"/>
      <c r="I534" s="39"/>
    </row>
    <row r="535">
      <c r="F535" s="14"/>
      <c r="G535" s="39"/>
      <c r="H535" s="15"/>
      <c r="I535" s="39"/>
    </row>
    <row r="536">
      <c r="F536" s="14"/>
      <c r="G536" s="39"/>
      <c r="H536" s="15"/>
      <c r="I536" s="39"/>
    </row>
    <row r="537">
      <c r="F537" s="14"/>
      <c r="G537" s="39"/>
      <c r="H537" s="15"/>
      <c r="I537" s="39"/>
    </row>
    <row r="538">
      <c r="F538" s="14"/>
      <c r="G538" s="39"/>
      <c r="H538" s="15"/>
      <c r="I538" s="39"/>
    </row>
    <row r="539">
      <c r="F539" s="14"/>
      <c r="G539" s="39"/>
      <c r="H539" s="15"/>
      <c r="I539" s="39"/>
    </row>
    <row r="540">
      <c r="F540" s="14"/>
      <c r="G540" s="39"/>
      <c r="H540" s="15"/>
      <c r="I540" s="39"/>
    </row>
    <row r="541">
      <c r="F541" s="14"/>
      <c r="G541" s="39"/>
      <c r="H541" s="15"/>
      <c r="I541" s="39"/>
    </row>
    <row r="542">
      <c r="F542" s="14"/>
      <c r="G542" s="39"/>
      <c r="H542" s="15"/>
      <c r="I542" s="39"/>
    </row>
    <row r="543">
      <c r="F543" s="14"/>
      <c r="G543" s="39"/>
      <c r="H543" s="15"/>
      <c r="I543" s="39"/>
    </row>
    <row r="544">
      <c r="F544" s="14"/>
      <c r="G544" s="39"/>
      <c r="H544" s="15"/>
      <c r="I544" s="39"/>
    </row>
    <row r="545">
      <c r="F545" s="14"/>
      <c r="G545" s="39"/>
      <c r="H545" s="15"/>
      <c r="I545" s="39"/>
    </row>
    <row r="546">
      <c r="F546" s="14"/>
      <c r="G546" s="39"/>
      <c r="H546" s="15"/>
      <c r="I546" s="39"/>
    </row>
    <row r="547">
      <c r="F547" s="14"/>
      <c r="G547" s="39"/>
      <c r="H547" s="15"/>
      <c r="I547" s="39"/>
    </row>
    <row r="548">
      <c r="F548" s="14"/>
      <c r="G548" s="39"/>
      <c r="H548" s="15"/>
      <c r="I548" s="39"/>
    </row>
    <row r="549">
      <c r="F549" s="14"/>
      <c r="G549" s="39"/>
      <c r="H549" s="15"/>
      <c r="I549" s="39"/>
    </row>
    <row r="550">
      <c r="F550" s="14"/>
      <c r="G550" s="39"/>
      <c r="H550" s="15"/>
      <c r="I550" s="39"/>
    </row>
    <row r="551">
      <c r="F551" s="14"/>
      <c r="G551" s="39"/>
      <c r="H551" s="15"/>
      <c r="I551" s="39"/>
    </row>
    <row r="552">
      <c r="F552" s="14"/>
      <c r="G552" s="39"/>
      <c r="H552" s="15"/>
      <c r="I552" s="39"/>
    </row>
    <row r="553">
      <c r="F553" s="14"/>
      <c r="G553" s="39"/>
      <c r="H553" s="15"/>
      <c r="I553" s="39"/>
    </row>
    <row r="554">
      <c r="F554" s="14"/>
      <c r="G554" s="39"/>
      <c r="H554" s="15"/>
      <c r="I554" s="39"/>
    </row>
    <row r="555">
      <c r="F555" s="14"/>
      <c r="G555" s="39"/>
      <c r="H555" s="15"/>
      <c r="I555" s="39"/>
    </row>
    <row r="556">
      <c r="F556" s="14"/>
      <c r="G556" s="39"/>
      <c r="H556" s="15"/>
      <c r="I556" s="39"/>
    </row>
    <row r="557">
      <c r="F557" s="14"/>
      <c r="G557" s="39"/>
      <c r="H557" s="15"/>
      <c r="I557" s="39"/>
    </row>
    <row r="558">
      <c r="F558" s="14"/>
      <c r="G558" s="39"/>
      <c r="H558" s="15"/>
      <c r="I558" s="39"/>
    </row>
    <row r="559">
      <c r="F559" s="14"/>
      <c r="G559" s="39"/>
      <c r="H559" s="15"/>
      <c r="I559" s="39"/>
    </row>
    <row r="560">
      <c r="F560" s="14"/>
      <c r="G560" s="39"/>
      <c r="H560" s="15"/>
      <c r="I560" s="39"/>
    </row>
    <row r="561">
      <c r="F561" s="14"/>
      <c r="G561" s="39"/>
      <c r="H561" s="15"/>
      <c r="I561" s="39"/>
    </row>
    <row r="562">
      <c r="F562" s="14"/>
      <c r="G562" s="39"/>
      <c r="H562" s="15"/>
      <c r="I562" s="39"/>
    </row>
    <row r="563">
      <c r="F563" s="14"/>
      <c r="G563" s="39"/>
      <c r="H563" s="15"/>
      <c r="I563" s="39"/>
    </row>
    <row r="564">
      <c r="F564" s="14"/>
      <c r="G564" s="39"/>
      <c r="H564" s="15"/>
      <c r="I564" s="39"/>
    </row>
    <row r="565">
      <c r="F565" s="14"/>
      <c r="G565" s="39"/>
      <c r="H565" s="15"/>
      <c r="I565" s="39"/>
    </row>
    <row r="566">
      <c r="F566" s="14"/>
      <c r="G566" s="39"/>
      <c r="H566" s="15"/>
      <c r="I566" s="39"/>
    </row>
    <row r="567">
      <c r="F567" s="14"/>
      <c r="G567" s="39"/>
      <c r="H567" s="15"/>
      <c r="I567" s="39"/>
    </row>
    <row r="568">
      <c r="F568" s="14"/>
      <c r="G568" s="39"/>
      <c r="H568" s="15"/>
      <c r="I568" s="39"/>
    </row>
    <row r="569">
      <c r="F569" s="14"/>
      <c r="G569" s="39"/>
      <c r="H569" s="15"/>
      <c r="I569" s="39"/>
    </row>
    <row r="570">
      <c r="F570" s="14"/>
      <c r="G570" s="39"/>
      <c r="H570" s="15"/>
      <c r="I570" s="39"/>
    </row>
    <row r="571">
      <c r="F571" s="14"/>
      <c r="G571" s="39"/>
      <c r="H571" s="15"/>
      <c r="I571" s="39"/>
    </row>
    <row r="572">
      <c r="F572" s="14"/>
      <c r="G572" s="39"/>
      <c r="H572" s="15"/>
      <c r="I572" s="39"/>
    </row>
    <row r="573">
      <c r="F573" s="14"/>
      <c r="G573" s="39"/>
      <c r="H573" s="15"/>
      <c r="I573" s="39"/>
    </row>
    <row r="574">
      <c r="F574" s="14"/>
      <c r="G574" s="39"/>
      <c r="H574" s="15"/>
      <c r="I574" s="39"/>
    </row>
    <row r="575">
      <c r="F575" s="14"/>
      <c r="G575" s="39"/>
      <c r="H575" s="15"/>
      <c r="I575" s="39"/>
    </row>
    <row r="576">
      <c r="F576" s="14"/>
      <c r="G576" s="39"/>
      <c r="H576" s="15"/>
      <c r="I576" s="39"/>
    </row>
    <row r="577">
      <c r="F577" s="14"/>
      <c r="G577" s="39"/>
      <c r="H577" s="15"/>
      <c r="I577" s="39"/>
    </row>
    <row r="578">
      <c r="F578" s="14"/>
      <c r="G578" s="39"/>
      <c r="H578" s="15"/>
      <c r="I578" s="39"/>
    </row>
    <row r="579">
      <c r="F579" s="14"/>
      <c r="G579" s="39"/>
      <c r="H579" s="15"/>
      <c r="I579" s="39"/>
    </row>
    <row r="580">
      <c r="F580" s="14"/>
      <c r="G580" s="39"/>
      <c r="H580" s="15"/>
      <c r="I580" s="39"/>
    </row>
    <row r="581">
      <c r="F581" s="14"/>
      <c r="G581" s="39"/>
      <c r="H581" s="15"/>
      <c r="I581" s="39"/>
    </row>
    <row r="582">
      <c r="F582" s="14"/>
      <c r="G582" s="39"/>
      <c r="H582" s="15"/>
      <c r="I582" s="39"/>
    </row>
    <row r="583">
      <c r="F583" s="14"/>
      <c r="G583" s="39"/>
      <c r="H583" s="15"/>
      <c r="I583" s="39"/>
    </row>
    <row r="584">
      <c r="F584" s="14"/>
      <c r="G584" s="39"/>
      <c r="H584" s="15"/>
      <c r="I584" s="39"/>
    </row>
    <row r="585">
      <c r="F585" s="14"/>
      <c r="G585" s="39"/>
      <c r="H585" s="15"/>
      <c r="I585" s="39"/>
    </row>
    <row r="586">
      <c r="F586" s="14"/>
      <c r="G586" s="39"/>
      <c r="H586" s="15"/>
      <c r="I586" s="39"/>
    </row>
    <row r="587">
      <c r="F587" s="14"/>
      <c r="G587" s="39"/>
      <c r="H587" s="15"/>
      <c r="I587" s="39"/>
    </row>
    <row r="588">
      <c r="F588" s="14"/>
      <c r="G588" s="39"/>
      <c r="H588" s="15"/>
      <c r="I588" s="39"/>
    </row>
    <row r="589">
      <c r="F589" s="14"/>
      <c r="G589" s="39"/>
      <c r="H589" s="15"/>
      <c r="I589" s="39"/>
    </row>
    <row r="590">
      <c r="F590" s="14"/>
      <c r="G590" s="39"/>
      <c r="H590" s="15"/>
      <c r="I590" s="39"/>
    </row>
    <row r="591">
      <c r="F591" s="14"/>
      <c r="G591" s="39"/>
      <c r="H591" s="15"/>
      <c r="I591" s="39"/>
    </row>
    <row r="592">
      <c r="F592" s="14"/>
      <c r="G592" s="39"/>
      <c r="H592" s="15"/>
      <c r="I592" s="39"/>
    </row>
    <row r="593">
      <c r="F593" s="14"/>
      <c r="G593" s="39"/>
      <c r="H593" s="15"/>
      <c r="I593" s="39"/>
    </row>
    <row r="594">
      <c r="F594" s="14"/>
      <c r="G594" s="39"/>
      <c r="H594" s="15"/>
      <c r="I594" s="39"/>
    </row>
    <row r="595">
      <c r="F595" s="14"/>
      <c r="G595" s="39"/>
      <c r="H595" s="15"/>
      <c r="I595" s="39"/>
    </row>
    <row r="596">
      <c r="F596" s="14"/>
      <c r="G596" s="39"/>
      <c r="H596" s="15"/>
      <c r="I596" s="39"/>
    </row>
    <row r="597">
      <c r="F597" s="14"/>
      <c r="G597" s="39"/>
      <c r="H597" s="15"/>
      <c r="I597" s="39"/>
    </row>
    <row r="598">
      <c r="F598" s="14"/>
      <c r="G598" s="39"/>
      <c r="H598" s="15"/>
      <c r="I598" s="39"/>
    </row>
    <row r="599">
      <c r="F599" s="14"/>
      <c r="G599" s="39"/>
      <c r="H599" s="15"/>
      <c r="I599" s="39"/>
    </row>
    <row r="600">
      <c r="F600" s="14"/>
      <c r="G600" s="39"/>
      <c r="H600" s="15"/>
      <c r="I600" s="39"/>
    </row>
    <row r="601">
      <c r="F601" s="14"/>
      <c r="G601" s="39"/>
      <c r="H601" s="15"/>
      <c r="I601" s="39"/>
    </row>
    <row r="602">
      <c r="F602" s="14"/>
      <c r="G602" s="39"/>
      <c r="H602" s="15"/>
      <c r="I602" s="39"/>
    </row>
    <row r="603">
      <c r="F603" s="14"/>
      <c r="G603" s="39"/>
      <c r="H603" s="15"/>
      <c r="I603" s="39"/>
    </row>
    <row r="604">
      <c r="F604" s="14"/>
      <c r="G604" s="39"/>
      <c r="H604" s="15"/>
      <c r="I604" s="39"/>
    </row>
    <row r="605">
      <c r="F605" s="14"/>
      <c r="G605" s="39"/>
      <c r="H605" s="15"/>
      <c r="I605" s="39"/>
    </row>
    <row r="606">
      <c r="F606" s="14"/>
      <c r="G606" s="39"/>
      <c r="H606" s="15"/>
      <c r="I606" s="39"/>
    </row>
    <row r="607">
      <c r="F607" s="14"/>
      <c r="G607" s="39"/>
      <c r="H607" s="15"/>
      <c r="I607" s="39"/>
    </row>
    <row r="608">
      <c r="F608" s="14"/>
      <c r="G608" s="39"/>
      <c r="H608" s="15"/>
      <c r="I608" s="39"/>
    </row>
    <row r="609">
      <c r="F609" s="14"/>
      <c r="G609" s="39"/>
      <c r="H609" s="15"/>
      <c r="I609" s="39"/>
    </row>
    <row r="610">
      <c r="F610" s="14"/>
      <c r="G610" s="39"/>
      <c r="H610" s="15"/>
      <c r="I610" s="39"/>
    </row>
    <row r="611">
      <c r="F611" s="14"/>
      <c r="G611" s="39"/>
      <c r="H611" s="15"/>
      <c r="I611" s="39"/>
    </row>
    <row r="612">
      <c r="F612" s="14"/>
      <c r="G612" s="39"/>
      <c r="H612" s="15"/>
      <c r="I612" s="39"/>
    </row>
    <row r="613">
      <c r="F613" s="14"/>
      <c r="G613" s="39"/>
      <c r="H613" s="15"/>
      <c r="I613" s="39"/>
    </row>
    <row r="614">
      <c r="F614" s="14"/>
      <c r="G614" s="39"/>
      <c r="H614" s="15"/>
      <c r="I614" s="39"/>
    </row>
    <row r="615">
      <c r="F615" s="14"/>
      <c r="G615" s="39"/>
      <c r="H615" s="15"/>
      <c r="I615" s="39"/>
    </row>
    <row r="616">
      <c r="F616" s="14"/>
      <c r="G616" s="39"/>
      <c r="H616" s="15"/>
      <c r="I616" s="39"/>
    </row>
    <row r="617">
      <c r="F617" s="14"/>
      <c r="G617" s="39"/>
      <c r="H617" s="15"/>
      <c r="I617" s="39"/>
    </row>
    <row r="618">
      <c r="F618" s="14"/>
      <c r="G618" s="39"/>
      <c r="H618" s="15"/>
      <c r="I618" s="39"/>
    </row>
    <row r="619">
      <c r="F619" s="14"/>
      <c r="G619" s="39"/>
      <c r="H619" s="15"/>
      <c r="I619" s="39"/>
    </row>
    <row r="620">
      <c r="F620" s="14"/>
      <c r="G620" s="39"/>
      <c r="H620" s="15"/>
      <c r="I620" s="39"/>
    </row>
    <row r="621">
      <c r="F621" s="14"/>
      <c r="G621" s="39"/>
      <c r="H621" s="15"/>
      <c r="I621" s="39"/>
    </row>
    <row r="622">
      <c r="F622" s="14"/>
      <c r="G622" s="39"/>
      <c r="H622" s="15"/>
      <c r="I622" s="39"/>
    </row>
    <row r="623">
      <c r="F623" s="14"/>
      <c r="G623" s="39"/>
      <c r="H623" s="15"/>
      <c r="I623" s="39"/>
    </row>
    <row r="624">
      <c r="F624" s="14"/>
      <c r="G624" s="39"/>
      <c r="H624" s="15"/>
      <c r="I624" s="39"/>
    </row>
    <row r="625">
      <c r="F625" s="14"/>
      <c r="G625" s="39"/>
      <c r="H625" s="15"/>
      <c r="I625" s="39"/>
    </row>
    <row r="626">
      <c r="F626" s="14"/>
      <c r="G626" s="39"/>
      <c r="H626" s="15"/>
      <c r="I626" s="39"/>
    </row>
    <row r="627">
      <c r="F627" s="14"/>
      <c r="G627" s="39"/>
      <c r="H627" s="15"/>
      <c r="I627" s="39"/>
    </row>
    <row r="628">
      <c r="F628" s="14"/>
      <c r="G628" s="39"/>
      <c r="H628" s="15"/>
      <c r="I628" s="39"/>
    </row>
    <row r="629">
      <c r="F629" s="14"/>
      <c r="G629" s="39"/>
      <c r="H629" s="15"/>
      <c r="I629" s="39"/>
    </row>
    <row r="630">
      <c r="F630" s="14"/>
      <c r="G630" s="39"/>
      <c r="H630" s="15"/>
      <c r="I630" s="39"/>
    </row>
    <row r="631">
      <c r="F631" s="14"/>
      <c r="G631" s="39"/>
      <c r="H631" s="15"/>
      <c r="I631" s="39"/>
    </row>
    <row r="632">
      <c r="F632" s="14"/>
      <c r="G632" s="39"/>
      <c r="H632" s="15"/>
      <c r="I632" s="39"/>
    </row>
    <row r="633">
      <c r="F633" s="14"/>
      <c r="G633" s="39"/>
      <c r="H633" s="15"/>
      <c r="I633" s="39"/>
    </row>
    <row r="634">
      <c r="F634" s="14"/>
      <c r="G634" s="39"/>
      <c r="H634" s="15"/>
      <c r="I634" s="39"/>
    </row>
    <row r="635">
      <c r="F635" s="14"/>
      <c r="G635" s="39"/>
      <c r="H635" s="15"/>
      <c r="I635" s="39"/>
    </row>
    <row r="636">
      <c r="F636" s="14"/>
      <c r="G636" s="39"/>
      <c r="H636" s="15"/>
      <c r="I636" s="39"/>
    </row>
    <row r="637">
      <c r="F637" s="14"/>
      <c r="G637" s="39"/>
      <c r="H637" s="15"/>
      <c r="I637" s="39"/>
    </row>
    <row r="638">
      <c r="F638" s="14"/>
      <c r="G638" s="39"/>
      <c r="H638" s="15"/>
      <c r="I638" s="39"/>
    </row>
    <row r="639">
      <c r="F639" s="14"/>
      <c r="G639" s="39"/>
      <c r="H639" s="15"/>
      <c r="I639" s="39"/>
    </row>
    <row r="640">
      <c r="F640" s="14"/>
      <c r="G640" s="39"/>
      <c r="H640" s="15"/>
      <c r="I640" s="39"/>
    </row>
    <row r="641">
      <c r="F641" s="14"/>
      <c r="G641" s="39"/>
      <c r="H641" s="15"/>
      <c r="I641" s="39"/>
    </row>
    <row r="642">
      <c r="F642" s="14"/>
      <c r="G642" s="39"/>
      <c r="H642" s="15"/>
      <c r="I642" s="39"/>
    </row>
    <row r="643">
      <c r="F643" s="14"/>
      <c r="G643" s="39"/>
      <c r="H643" s="15"/>
      <c r="I643" s="39"/>
    </row>
    <row r="644">
      <c r="F644" s="14"/>
      <c r="G644" s="39"/>
      <c r="H644" s="15"/>
      <c r="I644" s="39"/>
    </row>
    <row r="645">
      <c r="F645" s="14"/>
      <c r="G645" s="39"/>
      <c r="H645" s="15"/>
      <c r="I645" s="39"/>
    </row>
    <row r="646">
      <c r="F646" s="14"/>
      <c r="G646" s="39"/>
      <c r="H646" s="15"/>
      <c r="I646" s="39"/>
    </row>
    <row r="647">
      <c r="F647" s="14"/>
      <c r="G647" s="39"/>
      <c r="H647" s="15"/>
      <c r="I647" s="39"/>
    </row>
    <row r="648">
      <c r="F648" s="14"/>
      <c r="G648" s="39"/>
      <c r="H648" s="15"/>
      <c r="I648" s="39"/>
    </row>
    <row r="649">
      <c r="F649" s="14"/>
      <c r="G649" s="39"/>
      <c r="H649" s="15"/>
      <c r="I649" s="39"/>
    </row>
    <row r="650">
      <c r="F650" s="14"/>
      <c r="G650" s="39"/>
      <c r="H650" s="15"/>
      <c r="I650" s="39"/>
    </row>
    <row r="651">
      <c r="F651" s="14"/>
      <c r="G651" s="39"/>
      <c r="H651" s="15"/>
      <c r="I651" s="39"/>
    </row>
    <row r="652">
      <c r="F652" s="14"/>
      <c r="G652" s="39"/>
      <c r="H652" s="15"/>
      <c r="I652" s="39"/>
    </row>
    <row r="653">
      <c r="F653" s="14"/>
      <c r="G653" s="39"/>
      <c r="H653" s="15"/>
      <c r="I653" s="39"/>
    </row>
    <row r="654">
      <c r="F654" s="14"/>
      <c r="G654" s="39"/>
      <c r="H654" s="15"/>
      <c r="I654" s="39"/>
    </row>
    <row r="655">
      <c r="F655" s="14"/>
      <c r="G655" s="39"/>
      <c r="H655" s="15"/>
      <c r="I655" s="39"/>
    </row>
    <row r="656">
      <c r="F656" s="14"/>
      <c r="G656" s="39"/>
      <c r="H656" s="15"/>
      <c r="I656" s="39"/>
    </row>
    <row r="657">
      <c r="F657" s="14"/>
      <c r="G657" s="39"/>
      <c r="H657" s="15"/>
      <c r="I657" s="39"/>
    </row>
    <row r="658">
      <c r="F658" s="14"/>
      <c r="G658" s="39"/>
      <c r="H658" s="15"/>
      <c r="I658" s="39"/>
    </row>
    <row r="659">
      <c r="F659" s="14"/>
      <c r="G659" s="39"/>
      <c r="H659" s="15"/>
      <c r="I659" s="39"/>
    </row>
    <row r="660">
      <c r="F660" s="14"/>
      <c r="G660" s="39"/>
      <c r="H660" s="15"/>
      <c r="I660" s="39"/>
    </row>
    <row r="661">
      <c r="F661" s="14"/>
      <c r="G661" s="39"/>
      <c r="H661" s="15"/>
      <c r="I661" s="39"/>
    </row>
    <row r="662">
      <c r="F662" s="14"/>
      <c r="G662" s="39"/>
      <c r="H662" s="15"/>
      <c r="I662" s="39"/>
    </row>
    <row r="663">
      <c r="F663" s="14"/>
      <c r="G663" s="39"/>
      <c r="H663" s="15"/>
      <c r="I663" s="39"/>
    </row>
    <row r="664">
      <c r="F664" s="14"/>
      <c r="G664" s="39"/>
      <c r="H664" s="15"/>
      <c r="I664" s="39"/>
    </row>
    <row r="665">
      <c r="F665" s="14"/>
      <c r="G665" s="39"/>
      <c r="H665" s="15"/>
      <c r="I665" s="39"/>
    </row>
    <row r="666">
      <c r="F666" s="14"/>
      <c r="G666" s="39"/>
      <c r="H666" s="15"/>
      <c r="I666" s="39"/>
    </row>
    <row r="667">
      <c r="F667" s="14"/>
      <c r="G667" s="39"/>
      <c r="H667" s="15"/>
      <c r="I667" s="39"/>
    </row>
    <row r="668">
      <c r="F668" s="14"/>
      <c r="G668" s="39"/>
      <c r="H668" s="15"/>
      <c r="I668" s="39"/>
    </row>
    <row r="669">
      <c r="F669" s="14"/>
      <c r="G669" s="39"/>
      <c r="H669" s="15"/>
      <c r="I669" s="39"/>
    </row>
    <row r="670">
      <c r="F670" s="14"/>
      <c r="G670" s="39"/>
      <c r="H670" s="15"/>
      <c r="I670" s="39"/>
    </row>
    <row r="671">
      <c r="F671" s="14"/>
      <c r="G671" s="39"/>
      <c r="H671" s="15"/>
      <c r="I671" s="39"/>
    </row>
    <row r="672">
      <c r="F672" s="14"/>
      <c r="G672" s="39"/>
      <c r="H672" s="15"/>
      <c r="I672" s="39"/>
    </row>
    <row r="673">
      <c r="F673" s="14"/>
      <c r="G673" s="39"/>
      <c r="H673" s="15"/>
      <c r="I673" s="39"/>
    </row>
    <row r="674">
      <c r="F674" s="14"/>
      <c r="G674" s="39"/>
      <c r="H674" s="15"/>
      <c r="I674" s="39"/>
    </row>
    <row r="675">
      <c r="F675" s="14"/>
      <c r="G675" s="39"/>
      <c r="H675" s="15"/>
      <c r="I675" s="39"/>
    </row>
    <row r="676">
      <c r="F676" s="14"/>
      <c r="G676" s="39"/>
      <c r="H676" s="15"/>
      <c r="I676" s="39"/>
    </row>
    <row r="677">
      <c r="F677" s="14"/>
      <c r="G677" s="39"/>
      <c r="H677" s="15"/>
      <c r="I677" s="39"/>
    </row>
    <row r="678">
      <c r="F678" s="14"/>
      <c r="G678" s="39"/>
      <c r="H678" s="15"/>
      <c r="I678" s="39"/>
    </row>
    <row r="679">
      <c r="F679" s="14"/>
      <c r="G679" s="39"/>
      <c r="H679" s="15"/>
      <c r="I679" s="39"/>
    </row>
    <row r="680">
      <c r="F680" s="14"/>
      <c r="G680" s="39"/>
      <c r="H680" s="15"/>
      <c r="I680" s="39"/>
    </row>
    <row r="681">
      <c r="F681" s="14"/>
      <c r="G681" s="39"/>
      <c r="H681" s="15"/>
      <c r="I681" s="39"/>
    </row>
    <row r="682">
      <c r="F682" s="14"/>
      <c r="G682" s="39"/>
      <c r="H682" s="15"/>
      <c r="I682" s="39"/>
    </row>
    <row r="683">
      <c r="F683" s="14"/>
      <c r="G683" s="39"/>
      <c r="H683" s="15"/>
      <c r="I683" s="39"/>
    </row>
    <row r="684">
      <c r="F684" s="14"/>
      <c r="G684" s="39"/>
      <c r="H684" s="15"/>
      <c r="I684" s="39"/>
    </row>
    <row r="685">
      <c r="F685" s="14"/>
      <c r="G685" s="39"/>
      <c r="H685" s="15"/>
      <c r="I685" s="39"/>
    </row>
    <row r="686">
      <c r="F686" s="14"/>
      <c r="G686" s="39"/>
      <c r="H686" s="15"/>
      <c r="I686" s="39"/>
    </row>
    <row r="687">
      <c r="F687" s="14"/>
      <c r="G687" s="39"/>
      <c r="H687" s="15"/>
      <c r="I687" s="39"/>
    </row>
    <row r="688">
      <c r="F688" s="14"/>
      <c r="G688" s="39"/>
      <c r="H688" s="15"/>
      <c r="I688" s="39"/>
    </row>
    <row r="689">
      <c r="F689" s="14"/>
      <c r="G689" s="39"/>
      <c r="H689" s="15"/>
      <c r="I689" s="39"/>
    </row>
    <row r="690">
      <c r="F690" s="14"/>
      <c r="G690" s="39"/>
      <c r="H690" s="15"/>
      <c r="I690" s="39"/>
    </row>
    <row r="691">
      <c r="F691" s="14"/>
      <c r="G691" s="39"/>
      <c r="H691" s="15"/>
      <c r="I691" s="39"/>
    </row>
    <row r="692">
      <c r="F692" s="14"/>
      <c r="G692" s="39"/>
      <c r="H692" s="15"/>
      <c r="I692" s="39"/>
    </row>
    <row r="693">
      <c r="F693" s="14"/>
      <c r="G693" s="39"/>
      <c r="H693" s="15"/>
      <c r="I693" s="39"/>
    </row>
    <row r="694">
      <c r="F694" s="14"/>
      <c r="G694" s="39"/>
      <c r="H694" s="15"/>
      <c r="I694" s="39"/>
    </row>
    <row r="695">
      <c r="F695" s="14"/>
      <c r="G695" s="39"/>
      <c r="H695" s="15"/>
      <c r="I695" s="39"/>
    </row>
    <row r="696">
      <c r="F696" s="14"/>
      <c r="G696" s="39"/>
      <c r="H696" s="15"/>
      <c r="I696" s="39"/>
    </row>
    <row r="697">
      <c r="F697" s="14"/>
      <c r="G697" s="39"/>
      <c r="H697" s="15"/>
      <c r="I697" s="39"/>
    </row>
    <row r="698">
      <c r="F698" s="14"/>
      <c r="G698" s="39"/>
      <c r="H698" s="15"/>
      <c r="I698" s="39"/>
    </row>
    <row r="699">
      <c r="F699" s="14"/>
      <c r="G699" s="39"/>
      <c r="H699" s="15"/>
      <c r="I699" s="39"/>
    </row>
    <row r="700">
      <c r="F700" s="14"/>
      <c r="G700" s="39"/>
      <c r="H700" s="15"/>
      <c r="I700" s="39"/>
    </row>
    <row r="701">
      <c r="F701" s="14"/>
      <c r="G701" s="39"/>
      <c r="H701" s="15"/>
      <c r="I701" s="39"/>
    </row>
    <row r="702">
      <c r="F702" s="14"/>
      <c r="G702" s="39"/>
      <c r="H702" s="15"/>
      <c r="I702" s="39"/>
    </row>
    <row r="703">
      <c r="F703" s="14"/>
      <c r="G703" s="39"/>
      <c r="H703" s="15"/>
      <c r="I703" s="39"/>
    </row>
    <row r="704">
      <c r="F704" s="14"/>
      <c r="G704" s="39"/>
      <c r="H704" s="15"/>
      <c r="I704" s="39"/>
    </row>
    <row r="705">
      <c r="F705" s="14"/>
      <c r="G705" s="39"/>
      <c r="H705" s="15"/>
      <c r="I705" s="39"/>
    </row>
    <row r="706">
      <c r="F706" s="14"/>
      <c r="G706" s="39"/>
      <c r="H706" s="15"/>
      <c r="I706" s="39"/>
    </row>
    <row r="707">
      <c r="F707" s="14"/>
      <c r="G707" s="39"/>
      <c r="H707" s="15"/>
      <c r="I707" s="39"/>
    </row>
    <row r="708">
      <c r="F708" s="14"/>
      <c r="G708" s="39"/>
      <c r="H708" s="15"/>
      <c r="I708" s="39"/>
    </row>
    <row r="709">
      <c r="F709" s="14"/>
      <c r="G709" s="39"/>
      <c r="H709" s="15"/>
      <c r="I709" s="39"/>
    </row>
    <row r="710">
      <c r="F710" s="14"/>
      <c r="G710" s="39"/>
      <c r="H710" s="15"/>
      <c r="I710" s="39"/>
    </row>
    <row r="711">
      <c r="F711" s="14"/>
      <c r="G711" s="39"/>
      <c r="H711" s="15"/>
      <c r="I711" s="39"/>
    </row>
    <row r="712">
      <c r="F712" s="14"/>
      <c r="G712" s="39"/>
      <c r="H712" s="15"/>
      <c r="I712" s="39"/>
    </row>
    <row r="713">
      <c r="F713" s="14"/>
      <c r="G713" s="39"/>
      <c r="H713" s="15"/>
      <c r="I713" s="39"/>
    </row>
    <row r="714">
      <c r="F714" s="14"/>
      <c r="G714" s="39"/>
      <c r="H714" s="15"/>
      <c r="I714" s="39"/>
    </row>
    <row r="715">
      <c r="F715" s="14"/>
      <c r="G715" s="39"/>
      <c r="H715" s="15"/>
      <c r="I715" s="39"/>
    </row>
    <row r="716">
      <c r="F716" s="14"/>
      <c r="G716" s="39"/>
      <c r="H716" s="15"/>
      <c r="I716" s="39"/>
    </row>
    <row r="717">
      <c r="F717" s="14"/>
      <c r="G717" s="39"/>
      <c r="H717" s="15"/>
      <c r="I717" s="39"/>
    </row>
    <row r="718">
      <c r="F718" s="14"/>
      <c r="G718" s="39"/>
      <c r="H718" s="15"/>
      <c r="I718" s="39"/>
    </row>
    <row r="719">
      <c r="F719" s="14"/>
      <c r="G719" s="39"/>
      <c r="H719" s="15"/>
      <c r="I719" s="39"/>
    </row>
    <row r="720">
      <c r="F720" s="14"/>
      <c r="G720" s="39"/>
      <c r="H720" s="15"/>
      <c r="I720" s="39"/>
    </row>
    <row r="721">
      <c r="F721" s="14"/>
      <c r="G721" s="39"/>
      <c r="H721" s="15"/>
      <c r="I721" s="39"/>
    </row>
    <row r="722">
      <c r="F722" s="14"/>
      <c r="G722" s="39"/>
      <c r="H722" s="15"/>
      <c r="I722" s="39"/>
    </row>
    <row r="723">
      <c r="F723" s="14"/>
      <c r="G723" s="39"/>
      <c r="H723" s="15"/>
      <c r="I723" s="39"/>
    </row>
    <row r="724">
      <c r="F724" s="14"/>
      <c r="G724" s="39"/>
      <c r="H724" s="15"/>
      <c r="I724" s="39"/>
    </row>
    <row r="725">
      <c r="F725" s="14"/>
      <c r="G725" s="39"/>
      <c r="H725" s="15"/>
      <c r="I725" s="39"/>
    </row>
    <row r="726">
      <c r="F726" s="14"/>
      <c r="G726" s="39"/>
      <c r="H726" s="15"/>
      <c r="I726" s="39"/>
    </row>
    <row r="727">
      <c r="F727" s="14"/>
      <c r="G727" s="39"/>
      <c r="H727" s="15"/>
      <c r="I727" s="39"/>
    </row>
    <row r="728">
      <c r="F728" s="14"/>
      <c r="G728" s="39"/>
      <c r="H728" s="15"/>
      <c r="I728" s="39"/>
    </row>
    <row r="729">
      <c r="F729" s="14"/>
      <c r="G729" s="39"/>
      <c r="H729" s="15"/>
      <c r="I729" s="39"/>
    </row>
    <row r="730">
      <c r="F730" s="14"/>
      <c r="G730" s="39"/>
      <c r="H730" s="15"/>
      <c r="I730" s="39"/>
    </row>
    <row r="731">
      <c r="F731" s="14"/>
      <c r="G731" s="39"/>
      <c r="H731" s="15"/>
      <c r="I731" s="39"/>
    </row>
    <row r="732">
      <c r="F732" s="14"/>
      <c r="G732" s="39"/>
      <c r="H732" s="15"/>
      <c r="I732" s="39"/>
    </row>
    <row r="733">
      <c r="F733" s="14"/>
      <c r="G733" s="39"/>
      <c r="H733" s="15"/>
      <c r="I733" s="39"/>
    </row>
    <row r="734">
      <c r="F734" s="14"/>
      <c r="G734" s="39"/>
      <c r="H734" s="15"/>
      <c r="I734" s="39"/>
    </row>
    <row r="735">
      <c r="F735" s="14"/>
      <c r="G735" s="39"/>
      <c r="H735" s="15"/>
      <c r="I735" s="39"/>
    </row>
    <row r="736">
      <c r="F736" s="14"/>
      <c r="G736" s="39"/>
      <c r="H736" s="15"/>
      <c r="I736" s="39"/>
    </row>
    <row r="737">
      <c r="F737" s="14"/>
      <c r="G737" s="39"/>
      <c r="H737" s="15"/>
      <c r="I737" s="39"/>
    </row>
    <row r="738">
      <c r="F738" s="14"/>
      <c r="G738" s="39"/>
      <c r="H738" s="15"/>
      <c r="I738" s="39"/>
    </row>
    <row r="739">
      <c r="F739" s="14"/>
      <c r="G739" s="39"/>
      <c r="H739" s="15"/>
      <c r="I739" s="39"/>
    </row>
    <row r="740">
      <c r="F740" s="14"/>
      <c r="G740" s="39"/>
      <c r="H740" s="15"/>
      <c r="I740" s="39"/>
    </row>
    <row r="741">
      <c r="F741" s="14"/>
      <c r="G741" s="39"/>
      <c r="H741" s="15"/>
      <c r="I741" s="39"/>
    </row>
    <row r="742">
      <c r="F742" s="14"/>
      <c r="G742" s="39"/>
      <c r="H742" s="15"/>
      <c r="I742" s="39"/>
    </row>
    <row r="743">
      <c r="F743" s="14"/>
      <c r="G743" s="39"/>
      <c r="H743" s="15"/>
      <c r="I743" s="39"/>
    </row>
    <row r="744">
      <c r="F744" s="14"/>
      <c r="G744" s="39"/>
      <c r="H744" s="15"/>
      <c r="I744" s="39"/>
    </row>
    <row r="745">
      <c r="F745" s="14"/>
      <c r="G745" s="39"/>
      <c r="H745" s="15"/>
      <c r="I745" s="39"/>
    </row>
    <row r="746">
      <c r="F746" s="14"/>
      <c r="G746" s="39"/>
      <c r="H746" s="15"/>
      <c r="I746" s="39"/>
    </row>
    <row r="747">
      <c r="F747" s="14"/>
      <c r="G747" s="39"/>
      <c r="H747" s="15"/>
      <c r="I747" s="39"/>
    </row>
    <row r="748">
      <c r="F748" s="14"/>
      <c r="G748" s="39"/>
      <c r="H748" s="15"/>
      <c r="I748" s="39"/>
    </row>
    <row r="749">
      <c r="F749" s="14"/>
      <c r="G749" s="39"/>
      <c r="H749" s="15"/>
      <c r="I749" s="39"/>
    </row>
    <row r="750">
      <c r="F750" s="14"/>
      <c r="G750" s="39"/>
      <c r="H750" s="15"/>
      <c r="I750" s="39"/>
    </row>
    <row r="751">
      <c r="F751" s="14"/>
      <c r="G751" s="39"/>
      <c r="H751" s="15"/>
      <c r="I751" s="39"/>
    </row>
    <row r="752">
      <c r="F752" s="14"/>
      <c r="G752" s="39"/>
      <c r="H752" s="15"/>
      <c r="I752" s="39"/>
    </row>
    <row r="753">
      <c r="F753" s="14"/>
      <c r="G753" s="39"/>
      <c r="H753" s="15"/>
      <c r="I753" s="39"/>
    </row>
    <row r="754">
      <c r="F754" s="14"/>
      <c r="G754" s="39"/>
      <c r="H754" s="15"/>
      <c r="I754" s="39"/>
    </row>
    <row r="755">
      <c r="F755" s="14"/>
      <c r="G755" s="39"/>
      <c r="H755" s="15"/>
      <c r="I755" s="39"/>
    </row>
    <row r="756">
      <c r="F756" s="14"/>
      <c r="G756" s="39"/>
      <c r="H756" s="15"/>
      <c r="I756" s="39"/>
    </row>
    <row r="757">
      <c r="F757" s="14"/>
      <c r="G757" s="39"/>
      <c r="H757" s="15"/>
      <c r="I757" s="39"/>
    </row>
    <row r="758">
      <c r="F758" s="14"/>
      <c r="G758" s="39"/>
      <c r="H758" s="15"/>
      <c r="I758" s="39"/>
    </row>
    <row r="759">
      <c r="F759" s="14"/>
      <c r="G759" s="39"/>
      <c r="H759" s="15"/>
      <c r="I759" s="39"/>
    </row>
    <row r="760">
      <c r="F760" s="14"/>
      <c r="G760" s="39"/>
      <c r="H760" s="15"/>
      <c r="I760" s="39"/>
    </row>
    <row r="761">
      <c r="F761" s="14"/>
      <c r="G761" s="39"/>
      <c r="H761" s="15"/>
      <c r="I761" s="39"/>
    </row>
    <row r="762">
      <c r="F762" s="14"/>
      <c r="G762" s="39"/>
      <c r="H762" s="15"/>
      <c r="I762" s="39"/>
    </row>
    <row r="763">
      <c r="F763" s="14"/>
      <c r="G763" s="39"/>
      <c r="H763" s="15"/>
      <c r="I763" s="39"/>
    </row>
    <row r="764">
      <c r="F764" s="14"/>
      <c r="G764" s="39"/>
      <c r="H764" s="15"/>
      <c r="I764" s="39"/>
    </row>
    <row r="765">
      <c r="F765" s="14"/>
      <c r="G765" s="39"/>
      <c r="H765" s="15"/>
      <c r="I765" s="39"/>
    </row>
    <row r="766">
      <c r="F766" s="14"/>
      <c r="G766" s="39"/>
      <c r="H766" s="15"/>
      <c r="I766" s="39"/>
    </row>
    <row r="767">
      <c r="F767" s="14"/>
      <c r="G767" s="39"/>
      <c r="H767" s="15"/>
      <c r="I767" s="39"/>
    </row>
    <row r="768">
      <c r="F768" s="14"/>
      <c r="G768" s="39"/>
      <c r="H768" s="15"/>
      <c r="I768" s="39"/>
    </row>
    <row r="769">
      <c r="F769" s="14"/>
      <c r="G769" s="39"/>
      <c r="H769" s="15"/>
      <c r="I769" s="39"/>
    </row>
    <row r="770">
      <c r="F770" s="14"/>
      <c r="G770" s="39"/>
      <c r="H770" s="15"/>
      <c r="I770" s="39"/>
    </row>
    <row r="771">
      <c r="F771" s="14"/>
      <c r="G771" s="39"/>
      <c r="H771" s="15"/>
      <c r="I771" s="39"/>
    </row>
    <row r="772">
      <c r="F772" s="14"/>
      <c r="G772" s="39"/>
      <c r="H772" s="15"/>
      <c r="I772" s="39"/>
    </row>
    <row r="773">
      <c r="F773" s="14"/>
      <c r="G773" s="39"/>
      <c r="H773" s="15"/>
      <c r="I773" s="39"/>
    </row>
    <row r="774">
      <c r="F774" s="14"/>
      <c r="G774" s="39"/>
      <c r="H774" s="15"/>
      <c r="I774" s="39"/>
    </row>
    <row r="775">
      <c r="F775" s="14"/>
      <c r="G775" s="39"/>
      <c r="H775" s="15"/>
      <c r="I775" s="39"/>
    </row>
    <row r="776">
      <c r="F776" s="14"/>
      <c r="G776" s="39"/>
      <c r="H776" s="15"/>
      <c r="I776" s="39"/>
    </row>
    <row r="777">
      <c r="F777" s="14"/>
      <c r="G777" s="39"/>
      <c r="H777" s="15"/>
      <c r="I777" s="39"/>
    </row>
    <row r="778">
      <c r="F778" s="14"/>
      <c r="G778" s="39"/>
      <c r="H778" s="15"/>
      <c r="I778" s="39"/>
    </row>
    <row r="779">
      <c r="F779" s="14"/>
      <c r="G779" s="39"/>
      <c r="H779" s="15"/>
      <c r="I779" s="39"/>
    </row>
    <row r="780">
      <c r="F780" s="14"/>
      <c r="G780" s="39"/>
      <c r="H780" s="15"/>
      <c r="I780" s="39"/>
    </row>
    <row r="781">
      <c r="F781" s="14"/>
      <c r="G781" s="39"/>
      <c r="H781" s="15"/>
      <c r="I781" s="39"/>
    </row>
    <row r="782">
      <c r="F782" s="14"/>
      <c r="G782" s="39"/>
      <c r="H782" s="15"/>
      <c r="I782" s="39"/>
    </row>
    <row r="783">
      <c r="F783" s="14"/>
      <c r="G783" s="39"/>
      <c r="H783" s="15"/>
      <c r="I783" s="39"/>
    </row>
    <row r="784">
      <c r="F784" s="14"/>
      <c r="G784" s="39"/>
      <c r="H784" s="15"/>
      <c r="I784" s="39"/>
    </row>
    <row r="785">
      <c r="F785" s="14"/>
      <c r="G785" s="39"/>
      <c r="H785" s="15"/>
      <c r="I785" s="39"/>
    </row>
    <row r="786">
      <c r="F786" s="14"/>
      <c r="G786" s="39"/>
      <c r="H786" s="15"/>
      <c r="I786" s="39"/>
    </row>
    <row r="787">
      <c r="F787" s="14"/>
      <c r="G787" s="39"/>
      <c r="H787" s="15"/>
      <c r="I787" s="39"/>
    </row>
    <row r="788">
      <c r="F788" s="14"/>
      <c r="G788" s="39"/>
      <c r="H788" s="15"/>
      <c r="I788" s="39"/>
    </row>
    <row r="789">
      <c r="F789" s="14"/>
      <c r="G789" s="39"/>
      <c r="H789" s="15"/>
      <c r="I789" s="39"/>
    </row>
    <row r="790">
      <c r="F790" s="14"/>
      <c r="G790" s="39"/>
      <c r="H790" s="15"/>
      <c r="I790" s="39"/>
    </row>
    <row r="791">
      <c r="F791" s="14"/>
      <c r="G791" s="39"/>
      <c r="H791" s="15"/>
      <c r="I791" s="39"/>
    </row>
    <row r="792">
      <c r="F792" s="14"/>
      <c r="G792" s="39"/>
      <c r="H792" s="15"/>
      <c r="I792" s="39"/>
    </row>
    <row r="793">
      <c r="F793" s="14"/>
      <c r="G793" s="39"/>
      <c r="H793" s="15"/>
      <c r="I793" s="39"/>
    </row>
    <row r="794">
      <c r="F794" s="14"/>
      <c r="G794" s="39"/>
      <c r="H794" s="15"/>
      <c r="I794" s="39"/>
    </row>
    <row r="795">
      <c r="F795" s="14"/>
      <c r="G795" s="39"/>
      <c r="H795" s="15"/>
      <c r="I795" s="39"/>
    </row>
    <row r="796">
      <c r="F796" s="14"/>
      <c r="G796" s="39"/>
      <c r="H796" s="15"/>
      <c r="I796" s="39"/>
    </row>
    <row r="797">
      <c r="F797" s="14"/>
      <c r="G797" s="39"/>
      <c r="H797" s="15"/>
      <c r="I797" s="39"/>
    </row>
    <row r="798">
      <c r="F798" s="14"/>
      <c r="G798" s="39"/>
      <c r="H798" s="15"/>
      <c r="I798" s="39"/>
    </row>
    <row r="799">
      <c r="F799" s="14"/>
      <c r="G799" s="39"/>
      <c r="H799" s="15"/>
      <c r="I799" s="39"/>
    </row>
    <row r="800">
      <c r="F800" s="14"/>
      <c r="G800" s="39"/>
      <c r="H800" s="15"/>
      <c r="I800" s="39"/>
    </row>
    <row r="801">
      <c r="F801" s="14"/>
      <c r="G801" s="39"/>
      <c r="H801" s="15"/>
      <c r="I801" s="39"/>
    </row>
    <row r="802">
      <c r="F802" s="14"/>
      <c r="G802" s="39"/>
      <c r="H802" s="15"/>
      <c r="I802" s="39"/>
    </row>
    <row r="803">
      <c r="F803" s="14"/>
      <c r="G803" s="39"/>
      <c r="H803" s="15"/>
      <c r="I803" s="39"/>
    </row>
    <row r="804">
      <c r="F804" s="14"/>
      <c r="G804" s="39"/>
      <c r="H804" s="15"/>
      <c r="I804" s="39"/>
    </row>
    <row r="805">
      <c r="F805" s="14"/>
      <c r="G805" s="39"/>
      <c r="H805" s="15"/>
      <c r="I805" s="39"/>
    </row>
    <row r="806">
      <c r="F806" s="14"/>
      <c r="G806" s="39"/>
      <c r="H806" s="15"/>
      <c r="I806" s="39"/>
    </row>
    <row r="807">
      <c r="F807" s="14"/>
      <c r="G807" s="39"/>
      <c r="H807" s="15"/>
      <c r="I807" s="39"/>
    </row>
    <row r="808">
      <c r="F808" s="14"/>
      <c r="G808" s="39"/>
      <c r="H808" s="15"/>
      <c r="I808" s="39"/>
    </row>
    <row r="809">
      <c r="F809" s="14"/>
      <c r="G809" s="39"/>
      <c r="H809" s="15"/>
      <c r="I809" s="39"/>
    </row>
    <row r="810">
      <c r="F810" s="14"/>
      <c r="G810" s="39"/>
      <c r="H810" s="15"/>
      <c r="I810" s="39"/>
    </row>
    <row r="811">
      <c r="F811" s="14"/>
      <c r="G811" s="39"/>
      <c r="H811" s="15"/>
      <c r="I811" s="39"/>
    </row>
    <row r="812">
      <c r="F812" s="14"/>
      <c r="G812" s="39"/>
      <c r="H812" s="15"/>
      <c r="I812" s="39"/>
    </row>
    <row r="813">
      <c r="F813" s="14"/>
      <c r="G813" s="39"/>
      <c r="H813" s="15"/>
      <c r="I813" s="39"/>
    </row>
    <row r="814">
      <c r="F814" s="14"/>
      <c r="G814" s="39"/>
      <c r="H814" s="15"/>
      <c r="I814" s="39"/>
    </row>
    <row r="815">
      <c r="F815" s="14"/>
      <c r="G815" s="39"/>
      <c r="H815" s="15"/>
      <c r="I815" s="39"/>
    </row>
    <row r="816">
      <c r="F816" s="14"/>
      <c r="G816" s="39"/>
      <c r="H816" s="15"/>
      <c r="I816" s="39"/>
    </row>
    <row r="817">
      <c r="F817" s="14"/>
      <c r="G817" s="39"/>
      <c r="H817" s="15"/>
      <c r="I817" s="39"/>
    </row>
    <row r="818">
      <c r="F818" s="14"/>
      <c r="G818" s="39"/>
      <c r="H818" s="15"/>
      <c r="I818" s="39"/>
    </row>
    <row r="819">
      <c r="F819" s="14"/>
      <c r="G819" s="39"/>
      <c r="H819" s="15"/>
      <c r="I819" s="39"/>
    </row>
    <row r="820">
      <c r="F820" s="14"/>
      <c r="G820" s="39"/>
      <c r="H820" s="15"/>
      <c r="I820" s="39"/>
    </row>
    <row r="821">
      <c r="F821" s="14"/>
      <c r="G821" s="39"/>
      <c r="H821" s="15"/>
      <c r="I821" s="39"/>
    </row>
    <row r="822">
      <c r="F822" s="14"/>
      <c r="G822" s="39"/>
      <c r="H822" s="15"/>
      <c r="I822" s="39"/>
    </row>
    <row r="823">
      <c r="F823" s="14"/>
      <c r="G823" s="39"/>
      <c r="H823" s="15"/>
      <c r="I823" s="39"/>
    </row>
    <row r="824">
      <c r="F824" s="14"/>
      <c r="G824" s="39"/>
      <c r="H824" s="15"/>
      <c r="I824" s="39"/>
    </row>
    <row r="825">
      <c r="F825" s="14"/>
      <c r="G825" s="39"/>
      <c r="H825" s="15"/>
      <c r="I825" s="39"/>
    </row>
    <row r="826">
      <c r="F826" s="14"/>
      <c r="G826" s="39"/>
      <c r="H826" s="15"/>
      <c r="I826" s="39"/>
    </row>
    <row r="827">
      <c r="F827" s="14"/>
      <c r="G827" s="39"/>
      <c r="H827" s="15"/>
      <c r="I827" s="39"/>
    </row>
    <row r="828">
      <c r="F828" s="14"/>
      <c r="G828" s="39"/>
      <c r="H828" s="15"/>
      <c r="I828" s="39"/>
    </row>
    <row r="829">
      <c r="F829" s="14"/>
      <c r="G829" s="39"/>
      <c r="H829" s="15"/>
      <c r="I829" s="39"/>
    </row>
    <row r="830">
      <c r="F830" s="14"/>
      <c r="G830" s="39"/>
      <c r="H830" s="15"/>
      <c r="I830" s="39"/>
    </row>
    <row r="831">
      <c r="F831" s="14"/>
      <c r="G831" s="39"/>
      <c r="H831" s="15"/>
      <c r="I831" s="39"/>
    </row>
    <row r="832">
      <c r="F832" s="14"/>
      <c r="G832" s="39"/>
      <c r="H832" s="15"/>
      <c r="I832" s="39"/>
    </row>
    <row r="833">
      <c r="F833" s="14"/>
      <c r="G833" s="39"/>
      <c r="H833" s="15"/>
      <c r="I833" s="39"/>
    </row>
    <row r="834">
      <c r="F834" s="14"/>
      <c r="G834" s="39"/>
      <c r="H834" s="15"/>
      <c r="I834" s="39"/>
    </row>
    <row r="835">
      <c r="F835" s="14"/>
      <c r="G835" s="39"/>
      <c r="H835" s="15"/>
      <c r="I835" s="39"/>
    </row>
    <row r="836">
      <c r="F836" s="14"/>
      <c r="G836" s="39"/>
      <c r="H836" s="15"/>
      <c r="I836" s="39"/>
    </row>
    <row r="837">
      <c r="F837" s="14"/>
      <c r="G837" s="39"/>
      <c r="H837" s="15"/>
      <c r="I837" s="39"/>
    </row>
    <row r="838">
      <c r="F838" s="14"/>
      <c r="G838" s="39"/>
      <c r="H838" s="15"/>
      <c r="I838" s="39"/>
    </row>
    <row r="839">
      <c r="F839" s="14"/>
      <c r="G839" s="39"/>
      <c r="H839" s="15"/>
      <c r="I839" s="39"/>
    </row>
    <row r="840">
      <c r="F840" s="14"/>
      <c r="G840" s="39"/>
      <c r="H840" s="15"/>
      <c r="I840" s="39"/>
    </row>
    <row r="841">
      <c r="F841" s="14"/>
      <c r="G841" s="39"/>
      <c r="H841" s="15"/>
      <c r="I841" s="39"/>
    </row>
    <row r="842">
      <c r="F842" s="14"/>
      <c r="G842" s="39"/>
      <c r="H842" s="15"/>
      <c r="I842" s="39"/>
    </row>
    <row r="843">
      <c r="F843" s="14"/>
      <c r="G843" s="39"/>
      <c r="H843" s="15"/>
      <c r="I843" s="39"/>
    </row>
    <row r="844">
      <c r="F844" s="14"/>
      <c r="G844" s="39"/>
      <c r="H844" s="15"/>
      <c r="I844" s="39"/>
    </row>
    <row r="845">
      <c r="F845" s="14"/>
      <c r="G845" s="39"/>
      <c r="H845" s="15"/>
      <c r="I845" s="39"/>
    </row>
    <row r="846">
      <c r="F846" s="14"/>
      <c r="G846" s="39"/>
      <c r="H846" s="15"/>
      <c r="I846" s="39"/>
    </row>
    <row r="847">
      <c r="F847" s="14"/>
      <c r="G847" s="39"/>
      <c r="H847" s="15"/>
      <c r="I847" s="39"/>
    </row>
    <row r="848">
      <c r="F848" s="14"/>
      <c r="G848" s="39"/>
      <c r="H848" s="15"/>
      <c r="I848" s="39"/>
    </row>
    <row r="849">
      <c r="F849" s="14"/>
      <c r="G849" s="39"/>
      <c r="H849" s="15"/>
      <c r="I849" s="39"/>
    </row>
    <row r="850">
      <c r="F850" s="14"/>
      <c r="G850" s="39"/>
      <c r="H850" s="15"/>
      <c r="I850" s="39"/>
    </row>
    <row r="851">
      <c r="F851" s="14"/>
      <c r="G851" s="39"/>
      <c r="H851" s="15"/>
      <c r="I851" s="39"/>
    </row>
    <row r="852">
      <c r="F852" s="14"/>
      <c r="G852" s="39"/>
      <c r="H852" s="15"/>
      <c r="I852" s="39"/>
    </row>
    <row r="853">
      <c r="F853" s="14"/>
      <c r="G853" s="39"/>
      <c r="H853" s="15"/>
      <c r="I853" s="39"/>
    </row>
    <row r="854">
      <c r="F854" s="14"/>
      <c r="G854" s="39"/>
      <c r="H854" s="15"/>
      <c r="I854" s="39"/>
    </row>
    <row r="855">
      <c r="F855" s="14"/>
      <c r="G855" s="39"/>
      <c r="H855" s="15"/>
      <c r="I855" s="39"/>
    </row>
    <row r="856">
      <c r="F856" s="14"/>
      <c r="G856" s="39"/>
      <c r="H856" s="15"/>
      <c r="I856" s="39"/>
    </row>
    <row r="857">
      <c r="F857" s="14"/>
      <c r="G857" s="39"/>
      <c r="H857" s="15"/>
      <c r="I857" s="39"/>
    </row>
    <row r="858">
      <c r="F858" s="14"/>
      <c r="G858" s="39"/>
      <c r="H858" s="15"/>
      <c r="I858" s="39"/>
    </row>
    <row r="859">
      <c r="F859" s="14"/>
      <c r="G859" s="39"/>
      <c r="H859" s="15"/>
      <c r="I859" s="39"/>
    </row>
    <row r="860">
      <c r="F860" s="14"/>
      <c r="G860" s="39"/>
      <c r="H860" s="15"/>
      <c r="I860" s="39"/>
    </row>
    <row r="861">
      <c r="F861" s="14"/>
      <c r="G861" s="39"/>
      <c r="H861" s="15"/>
      <c r="I861" s="39"/>
    </row>
    <row r="862">
      <c r="F862" s="14"/>
      <c r="G862" s="39"/>
      <c r="H862" s="15"/>
      <c r="I862" s="39"/>
    </row>
    <row r="863">
      <c r="F863" s="14"/>
      <c r="G863" s="39"/>
      <c r="H863" s="15"/>
      <c r="I863" s="39"/>
    </row>
    <row r="864">
      <c r="F864" s="14"/>
      <c r="G864" s="39"/>
      <c r="H864" s="15"/>
      <c r="I864" s="39"/>
    </row>
    <row r="865">
      <c r="F865" s="14"/>
      <c r="G865" s="39"/>
      <c r="H865" s="15"/>
      <c r="I865" s="39"/>
    </row>
    <row r="866">
      <c r="F866" s="14"/>
      <c r="G866" s="39"/>
      <c r="H866" s="15"/>
      <c r="I866" s="39"/>
    </row>
    <row r="867">
      <c r="F867" s="14"/>
      <c r="G867" s="39"/>
      <c r="H867" s="15"/>
      <c r="I867" s="39"/>
    </row>
    <row r="868">
      <c r="F868" s="14"/>
      <c r="G868" s="39"/>
      <c r="H868" s="15"/>
      <c r="I868" s="39"/>
    </row>
    <row r="869">
      <c r="F869" s="14"/>
      <c r="G869" s="39"/>
      <c r="H869" s="15"/>
      <c r="I869" s="39"/>
    </row>
    <row r="870">
      <c r="F870" s="14"/>
      <c r="G870" s="39"/>
      <c r="H870" s="15"/>
      <c r="I870" s="39"/>
    </row>
    <row r="871">
      <c r="F871" s="14"/>
      <c r="G871" s="39"/>
      <c r="H871" s="15"/>
      <c r="I871" s="39"/>
    </row>
    <row r="872">
      <c r="F872" s="14"/>
      <c r="G872" s="39"/>
      <c r="H872" s="15"/>
      <c r="I872" s="39"/>
    </row>
    <row r="873">
      <c r="F873" s="14"/>
      <c r="G873" s="39"/>
      <c r="H873" s="15"/>
      <c r="I873" s="39"/>
    </row>
    <row r="874">
      <c r="F874" s="14"/>
      <c r="G874" s="39"/>
      <c r="H874" s="15"/>
      <c r="I874" s="39"/>
    </row>
    <row r="875">
      <c r="F875" s="14"/>
      <c r="G875" s="39"/>
      <c r="H875" s="15"/>
      <c r="I875" s="39"/>
    </row>
    <row r="876">
      <c r="F876" s="14"/>
      <c r="G876" s="39"/>
      <c r="H876" s="15"/>
      <c r="I876" s="39"/>
    </row>
    <row r="877">
      <c r="F877" s="14"/>
      <c r="G877" s="39"/>
      <c r="H877" s="15"/>
      <c r="I877" s="39"/>
    </row>
    <row r="878">
      <c r="F878" s="14"/>
      <c r="G878" s="39"/>
      <c r="H878" s="15"/>
      <c r="I878" s="39"/>
    </row>
    <row r="879">
      <c r="F879" s="14"/>
      <c r="G879" s="39"/>
      <c r="H879" s="15"/>
      <c r="I879" s="39"/>
    </row>
    <row r="880">
      <c r="F880" s="14"/>
      <c r="G880" s="39"/>
      <c r="H880" s="15"/>
      <c r="I880" s="39"/>
    </row>
    <row r="881">
      <c r="F881" s="14"/>
      <c r="G881" s="39"/>
      <c r="H881" s="15"/>
      <c r="I881" s="39"/>
    </row>
    <row r="882">
      <c r="F882" s="14"/>
      <c r="G882" s="39"/>
      <c r="H882" s="15"/>
      <c r="I882" s="39"/>
    </row>
    <row r="883">
      <c r="F883" s="14"/>
      <c r="G883" s="39"/>
      <c r="H883" s="15"/>
      <c r="I883" s="39"/>
    </row>
    <row r="884">
      <c r="F884" s="14"/>
      <c r="G884" s="39"/>
      <c r="H884" s="15"/>
      <c r="I884" s="39"/>
    </row>
    <row r="885">
      <c r="F885" s="14"/>
      <c r="G885" s="39"/>
      <c r="H885" s="15"/>
      <c r="I885" s="39"/>
    </row>
    <row r="886">
      <c r="F886" s="14"/>
      <c r="G886" s="39"/>
      <c r="H886" s="15"/>
      <c r="I886" s="39"/>
    </row>
    <row r="887">
      <c r="F887" s="14"/>
      <c r="G887" s="39"/>
      <c r="H887" s="15"/>
      <c r="I887" s="39"/>
    </row>
    <row r="888">
      <c r="F888" s="14"/>
      <c r="G888" s="39"/>
      <c r="H888" s="15"/>
      <c r="I888" s="39"/>
    </row>
    <row r="889">
      <c r="F889" s="14"/>
      <c r="G889" s="39"/>
      <c r="H889" s="15"/>
      <c r="I889" s="39"/>
    </row>
    <row r="890">
      <c r="F890" s="14"/>
      <c r="G890" s="39"/>
      <c r="H890" s="15"/>
      <c r="I890" s="39"/>
    </row>
    <row r="891">
      <c r="F891" s="14"/>
      <c r="G891" s="39"/>
      <c r="H891" s="15"/>
      <c r="I891" s="39"/>
    </row>
    <row r="892">
      <c r="F892" s="14"/>
      <c r="G892" s="39"/>
      <c r="H892" s="15"/>
      <c r="I892" s="39"/>
    </row>
    <row r="893">
      <c r="F893" s="14"/>
      <c r="G893" s="39"/>
      <c r="H893" s="15"/>
      <c r="I893" s="39"/>
    </row>
    <row r="894">
      <c r="F894" s="14"/>
      <c r="G894" s="39"/>
      <c r="H894" s="15"/>
      <c r="I894" s="39"/>
    </row>
    <row r="895">
      <c r="F895" s="14"/>
      <c r="G895" s="39"/>
      <c r="H895" s="15"/>
      <c r="I895" s="39"/>
    </row>
    <row r="896">
      <c r="F896" s="14"/>
      <c r="G896" s="39"/>
      <c r="H896" s="15"/>
      <c r="I896" s="39"/>
    </row>
    <row r="897">
      <c r="F897" s="14"/>
      <c r="G897" s="39"/>
      <c r="H897" s="15"/>
      <c r="I897" s="39"/>
    </row>
    <row r="898">
      <c r="F898" s="14"/>
      <c r="G898" s="39"/>
      <c r="H898" s="15"/>
      <c r="I898" s="39"/>
    </row>
    <row r="899">
      <c r="F899" s="14"/>
      <c r="G899" s="39"/>
      <c r="H899" s="15"/>
      <c r="I899" s="39"/>
    </row>
    <row r="900">
      <c r="F900" s="14"/>
      <c r="G900" s="39"/>
      <c r="H900" s="15"/>
      <c r="I900" s="39"/>
    </row>
    <row r="901">
      <c r="F901" s="14"/>
      <c r="G901" s="39"/>
      <c r="H901" s="15"/>
      <c r="I901" s="39"/>
    </row>
    <row r="902">
      <c r="F902" s="14"/>
      <c r="G902" s="39"/>
      <c r="H902" s="15"/>
      <c r="I902" s="39"/>
    </row>
    <row r="903">
      <c r="F903" s="14"/>
      <c r="G903" s="39"/>
      <c r="H903" s="15"/>
      <c r="I903" s="39"/>
    </row>
    <row r="904">
      <c r="F904" s="14"/>
      <c r="G904" s="39"/>
      <c r="H904" s="15"/>
      <c r="I904" s="39"/>
    </row>
    <row r="905">
      <c r="F905" s="14"/>
      <c r="G905" s="39"/>
      <c r="H905" s="15"/>
      <c r="I905" s="39"/>
    </row>
    <row r="906">
      <c r="F906" s="14"/>
      <c r="G906" s="39"/>
      <c r="H906" s="15"/>
      <c r="I906" s="39"/>
    </row>
    <row r="907">
      <c r="F907" s="14"/>
      <c r="G907" s="39"/>
      <c r="H907" s="15"/>
      <c r="I907" s="39"/>
    </row>
    <row r="908">
      <c r="F908" s="14"/>
      <c r="G908" s="39"/>
      <c r="H908" s="15"/>
      <c r="I908" s="39"/>
    </row>
    <row r="909">
      <c r="F909" s="14"/>
      <c r="G909" s="39"/>
      <c r="H909" s="15"/>
      <c r="I909" s="39"/>
    </row>
    <row r="910">
      <c r="F910" s="14"/>
      <c r="G910" s="39"/>
      <c r="H910" s="15"/>
      <c r="I910" s="39"/>
    </row>
    <row r="911">
      <c r="F911" s="14"/>
      <c r="G911" s="39"/>
      <c r="H911" s="15"/>
      <c r="I911" s="39"/>
    </row>
    <row r="912">
      <c r="F912" s="14"/>
      <c r="G912" s="39"/>
      <c r="H912" s="15"/>
      <c r="I912" s="39"/>
    </row>
    <row r="913">
      <c r="F913" s="14"/>
      <c r="G913" s="39"/>
      <c r="H913" s="15"/>
      <c r="I913" s="39"/>
    </row>
    <row r="914">
      <c r="F914" s="14"/>
      <c r="G914" s="39"/>
      <c r="H914" s="15"/>
      <c r="I914" s="39"/>
    </row>
    <row r="915">
      <c r="F915" s="14"/>
      <c r="G915" s="39"/>
      <c r="H915" s="15"/>
      <c r="I915" s="39"/>
    </row>
    <row r="916">
      <c r="F916" s="14"/>
      <c r="G916" s="39"/>
      <c r="H916" s="15"/>
      <c r="I916" s="39"/>
    </row>
    <row r="917">
      <c r="F917" s="14"/>
      <c r="G917" s="39"/>
      <c r="H917" s="15"/>
      <c r="I917" s="39"/>
    </row>
    <row r="918">
      <c r="F918" s="14"/>
      <c r="G918" s="39"/>
      <c r="H918" s="15"/>
      <c r="I918" s="39"/>
    </row>
    <row r="919">
      <c r="F919" s="14"/>
      <c r="G919" s="39"/>
      <c r="H919" s="15"/>
      <c r="I919" s="39"/>
    </row>
    <row r="920">
      <c r="F920" s="14"/>
      <c r="G920" s="39"/>
      <c r="H920" s="15"/>
      <c r="I920" s="39"/>
    </row>
    <row r="921">
      <c r="F921" s="14"/>
      <c r="G921" s="39"/>
      <c r="H921" s="15"/>
      <c r="I921" s="39"/>
    </row>
    <row r="922">
      <c r="F922" s="14"/>
      <c r="G922" s="39"/>
      <c r="H922" s="15"/>
      <c r="I922" s="39"/>
    </row>
    <row r="923">
      <c r="F923" s="14"/>
      <c r="G923" s="39"/>
      <c r="H923" s="15"/>
      <c r="I923" s="39"/>
    </row>
    <row r="924">
      <c r="F924" s="14"/>
      <c r="G924" s="39"/>
      <c r="H924" s="15"/>
      <c r="I924" s="39"/>
    </row>
    <row r="925">
      <c r="F925" s="14"/>
      <c r="G925" s="39"/>
      <c r="H925" s="15"/>
      <c r="I925" s="39"/>
    </row>
    <row r="926">
      <c r="F926" s="14"/>
      <c r="G926" s="39"/>
      <c r="H926" s="15"/>
      <c r="I926" s="39"/>
    </row>
    <row r="927">
      <c r="F927" s="14"/>
      <c r="G927" s="39"/>
      <c r="H927" s="15"/>
      <c r="I927" s="39"/>
    </row>
    <row r="928">
      <c r="F928" s="14"/>
      <c r="G928" s="39"/>
      <c r="H928" s="15"/>
      <c r="I928" s="39"/>
    </row>
    <row r="929">
      <c r="F929" s="14"/>
      <c r="G929" s="39"/>
      <c r="H929" s="15"/>
      <c r="I929" s="39"/>
    </row>
    <row r="930">
      <c r="F930" s="14"/>
      <c r="G930" s="39"/>
      <c r="H930" s="15"/>
      <c r="I930" s="39"/>
    </row>
    <row r="931">
      <c r="F931" s="14"/>
      <c r="G931" s="39"/>
      <c r="H931" s="15"/>
      <c r="I931" s="39"/>
    </row>
    <row r="932">
      <c r="F932" s="14"/>
      <c r="G932" s="39"/>
      <c r="H932" s="15"/>
      <c r="I932" s="39"/>
    </row>
    <row r="933">
      <c r="F933" s="14"/>
      <c r="G933" s="39"/>
      <c r="H933" s="15"/>
      <c r="I933" s="39"/>
    </row>
    <row r="934">
      <c r="F934" s="14"/>
      <c r="G934" s="39"/>
      <c r="H934" s="15"/>
      <c r="I934" s="39"/>
    </row>
    <row r="935">
      <c r="F935" s="14"/>
      <c r="G935" s="39"/>
      <c r="H935" s="15"/>
      <c r="I935" s="39"/>
    </row>
    <row r="936">
      <c r="F936" s="14"/>
      <c r="G936" s="39"/>
      <c r="H936" s="15"/>
      <c r="I936" s="39"/>
    </row>
    <row r="937">
      <c r="F937" s="14"/>
      <c r="G937" s="39"/>
      <c r="H937" s="15"/>
      <c r="I937" s="39"/>
    </row>
    <row r="938">
      <c r="F938" s="14"/>
      <c r="G938" s="39"/>
      <c r="H938" s="15"/>
      <c r="I938" s="39"/>
    </row>
    <row r="939">
      <c r="F939" s="14"/>
      <c r="G939" s="39"/>
      <c r="H939" s="15"/>
      <c r="I939" s="39"/>
    </row>
    <row r="940">
      <c r="F940" s="14"/>
      <c r="G940" s="39"/>
      <c r="H940" s="15"/>
      <c r="I940" s="39"/>
    </row>
    <row r="941">
      <c r="F941" s="14"/>
      <c r="G941" s="39"/>
      <c r="H941" s="15"/>
      <c r="I941" s="39"/>
    </row>
    <row r="942">
      <c r="F942" s="14"/>
      <c r="G942" s="39"/>
      <c r="H942" s="15"/>
      <c r="I942" s="39"/>
    </row>
    <row r="943">
      <c r="F943" s="14"/>
      <c r="G943" s="39"/>
      <c r="H943" s="15"/>
      <c r="I943" s="39"/>
    </row>
    <row r="944">
      <c r="F944" s="14"/>
      <c r="G944" s="39"/>
      <c r="H944" s="15"/>
      <c r="I944" s="39"/>
    </row>
    <row r="945">
      <c r="F945" s="14"/>
      <c r="G945" s="39"/>
      <c r="H945" s="15"/>
      <c r="I945" s="39"/>
    </row>
    <row r="946">
      <c r="F946" s="14"/>
      <c r="G946" s="39"/>
      <c r="H946" s="15"/>
      <c r="I946" s="39"/>
    </row>
    <row r="947">
      <c r="F947" s="14"/>
      <c r="G947" s="39"/>
      <c r="H947" s="15"/>
      <c r="I947" s="39"/>
    </row>
    <row r="948">
      <c r="F948" s="14"/>
      <c r="G948" s="39"/>
      <c r="H948" s="15"/>
      <c r="I948" s="39"/>
    </row>
    <row r="949">
      <c r="F949" s="14"/>
      <c r="G949" s="39"/>
      <c r="H949" s="15"/>
      <c r="I949" s="39"/>
    </row>
    <row r="950">
      <c r="F950" s="14"/>
      <c r="G950" s="39"/>
      <c r="H950" s="15"/>
      <c r="I950" s="39"/>
    </row>
    <row r="951">
      <c r="F951" s="14"/>
      <c r="G951" s="39"/>
      <c r="H951" s="15"/>
      <c r="I951" s="39"/>
    </row>
    <row r="952">
      <c r="F952" s="14"/>
      <c r="G952" s="39"/>
      <c r="H952" s="15"/>
      <c r="I952" s="39"/>
    </row>
    <row r="953">
      <c r="F953" s="14"/>
      <c r="G953" s="39"/>
      <c r="H953" s="15"/>
      <c r="I953" s="39"/>
    </row>
    <row r="954">
      <c r="F954" s="14"/>
      <c r="G954" s="39"/>
      <c r="H954" s="15"/>
      <c r="I954" s="39"/>
    </row>
    <row r="955">
      <c r="F955" s="14"/>
      <c r="G955" s="39"/>
      <c r="H955" s="15"/>
      <c r="I955" s="39"/>
    </row>
    <row r="956">
      <c r="F956" s="14"/>
      <c r="G956" s="39"/>
      <c r="H956" s="15"/>
      <c r="I956" s="39"/>
    </row>
    <row r="957">
      <c r="F957" s="14"/>
      <c r="G957" s="39"/>
      <c r="H957" s="15"/>
      <c r="I957" s="39"/>
    </row>
    <row r="958">
      <c r="F958" s="14"/>
      <c r="G958" s="39"/>
      <c r="H958" s="15"/>
      <c r="I958" s="39"/>
    </row>
    <row r="959">
      <c r="F959" s="14"/>
      <c r="G959" s="39"/>
      <c r="H959" s="15"/>
      <c r="I959" s="39"/>
    </row>
    <row r="960">
      <c r="F960" s="14"/>
      <c r="G960" s="39"/>
      <c r="H960" s="15"/>
      <c r="I960" s="39"/>
    </row>
    <row r="961">
      <c r="F961" s="14"/>
      <c r="G961" s="39"/>
      <c r="H961" s="15"/>
      <c r="I961" s="39"/>
    </row>
    <row r="962">
      <c r="F962" s="14"/>
      <c r="G962" s="39"/>
      <c r="H962" s="15"/>
      <c r="I962" s="39"/>
    </row>
    <row r="963">
      <c r="F963" s="14"/>
      <c r="G963" s="39"/>
      <c r="H963" s="15"/>
      <c r="I963" s="39"/>
    </row>
    <row r="964">
      <c r="F964" s="14"/>
      <c r="G964" s="39"/>
      <c r="H964" s="15"/>
      <c r="I964" s="39"/>
    </row>
    <row r="965">
      <c r="F965" s="14"/>
      <c r="G965" s="39"/>
      <c r="H965" s="15"/>
      <c r="I965" s="39"/>
    </row>
    <row r="966">
      <c r="F966" s="14"/>
      <c r="G966" s="39"/>
      <c r="H966" s="15"/>
      <c r="I966" s="39"/>
    </row>
    <row r="967">
      <c r="F967" s="14"/>
      <c r="G967" s="39"/>
      <c r="H967" s="15"/>
      <c r="I967" s="39"/>
    </row>
    <row r="968">
      <c r="F968" s="14"/>
      <c r="G968" s="39"/>
      <c r="H968" s="15"/>
      <c r="I968" s="39"/>
    </row>
    <row r="969">
      <c r="F969" s="14"/>
      <c r="G969" s="39"/>
      <c r="H969" s="15"/>
      <c r="I969" s="39"/>
    </row>
    <row r="970">
      <c r="F970" s="14"/>
      <c r="G970" s="39"/>
      <c r="H970" s="15"/>
      <c r="I970" s="39"/>
    </row>
    <row r="971">
      <c r="F971" s="14"/>
      <c r="G971" s="39"/>
      <c r="H971" s="15"/>
      <c r="I971" s="39"/>
    </row>
    <row r="972">
      <c r="F972" s="14"/>
      <c r="G972" s="39"/>
      <c r="H972" s="15"/>
      <c r="I972" s="39"/>
    </row>
    <row r="973">
      <c r="F973" s="14"/>
      <c r="G973" s="39"/>
      <c r="H973" s="15"/>
      <c r="I973" s="39"/>
    </row>
    <row r="974">
      <c r="F974" s="14"/>
      <c r="G974" s="39"/>
      <c r="H974" s="15"/>
      <c r="I974" s="39"/>
    </row>
    <row r="975">
      <c r="F975" s="14"/>
      <c r="G975" s="39"/>
      <c r="H975" s="15"/>
      <c r="I975" s="39"/>
    </row>
    <row r="976">
      <c r="F976" s="14"/>
      <c r="G976" s="39"/>
      <c r="H976" s="15"/>
      <c r="I976" s="39"/>
    </row>
    <row r="977">
      <c r="F977" s="14"/>
      <c r="G977" s="39"/>
      <c r="H977" s="15"/>
      <c r="I977" s="39"/>
    </row>
    <row r="978">
      <c r="F978" s="14"/>
      <c r="G978" s="39"/>
      <c r="H978" s="15"/>
      <c r="I978" s="39"/>
    </row>
    <row r="979">
      <c r="F979" s="14"/>
      <c r="G979" s="39"/>
      <c r="H979" s="15"/>
      <c r="I979" s="39"/>
    </row>
    <row r="980">
      <c r="F980" s="14"/>
      <c r="G980" s="39"/>
      <c r="H980" s="15"/>
      <c r="I980" s="39"/>
    </row>
    <row r="981">
      <c r="F981" s="14"/>
      <c r="G981" s="39"/>
      <c r="H981" s="15"/>
      <c r="I981" s="39"/>
    </row>
    <row r="982">
      <c r="F982" s="14"/>
      <c r="G982" s="39"/>
      <c r="H982" s="15"/>
      <c r="I982" s="39"/>
    </row>
    <row r="983">
      <c r="F983" s="14"/>
      <c r="G983" s="39"/>
      <c r="H983" s="15"/>
      <c r="I983" s="39"/>
    </row>
    <row r="984">
      <c r="F984" s="14"/>
      <c r="G984" s="39"/>
      <c r="H984" s="15"/>
      <c r="I984" s="39"/>
    </row>
    <row r="985">
      <c r="F985" s="14"/>
      <c r="G985" s="39"/>
      <c r="H985" s="15"/>
      <c r="I985" s="39"/>
    </row>
    <row r="986">
      <c r="F986" s="14"/>
      <c r="G986" s="39"/>
      <c r="H986" s="15"/>
      <c r="I986" s="39"/>
    </row>
    <row r="987">
      <c r="F987" s="14"/>
      <c r="G987" s="39"/>
      <c r="H987" s="15"/>
      <c r="I987" s="39"/>
    </row>
    <row r="988">
      <c r="F988" s="14"/>
      <c r="G988" s="39"/>
      <c r="H988" s="15"/>
      <c r="I988" s="39"/>
    </row>
    <row r="989">
      <c r="F989" s="14"/>
      <c r="G989" s="39"/>
      <c r="H989" s="15"/>
      <c r="I989" s="39"/>
    </row>
    <row r="990">
      <c r="F990" s="14"/>
      <c r="G990" s="39"/>
      <c r="H990" s="15"/>
      <c r="I990" s="39"/>
    </row>
    <row r="991">
      <c r="F991" s="14"/>
      <c r="G991" s="39"/>
      <c r="H991" s="15"/>
      <c r="I991" s="39"/>
    </row>
    <row r="992">
      <c r="F992" s="14"/>
      <c r="G992" s="39"/>
      <c r="H992" s="15"/>
      <c r="I992" s="39"/>
    </row>
    <row r="993">
      <c r="F993" s="14"/>
      <c r="G993" s="39"/>
      <c r="H993" s="15"/>
      <c r="I993" s="39"/>
    </row>
    <row r="994">
      <c r="F994" s="14"/>
      <c r="G994" s="39"/>
      <c r="H994" s="15"/>
      <c r="I994" s="39"/>
    </row>
    <row r="995">
      <c r="F995" s="14"/>
      <c r="G995" s="39"/>
      <c r="H995" s="15"/>
      <c r="I995" s="39"/>
    </row>
    <row r="996">
      <c r="F996" s="14"/>
      <c r="G996" s="39"/>
      <c r="H996" s="15"/>
      <c r="I996" s="39"/>
    </row>
    <row r="997">
      <c r="F997" s="14"/>
      <c r="G997" s="39"/>
      <c r="H997" s="15"/>
      <c r="I997" s="39"/>
    </row>
    <row r="998">
      <c r="F998" s="14"/>
      <c r="G998" s="39"/>
      <c r="H998" s="15"/>
      <c r="I998" s="39"/>
    </row>
    <row r="999">
      <c r="F999" s="14"/>
      <c r="G999" s="39"/>
      <c r="H999" s="15"/>
      <c r="I999" s="39"/>
    </row>
    <row r="1000">
      <c r="F1000" s="14"/>
      <c r="G1000" s="39"/>
      <c r="H1000" s="15"/>
      <c r="I1000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3</v>
      </c>
      <c r="B1" s="72"/>
      <c r="C1" s="72"/>
      <c r="D1" s="72"/>
      <c r="E1" s="72"/>
    </row>
    <row r="2">
      <c r="A2" s="72"/>
      <c r="B2" s="73">
        <v>2021.0</v>
      </c>
      <c r="C2" s="73">
        <v>2022.0</v>
      </c>
      <c r="D2" s="73">
        <v>2023.0</v>
      </c>
      <c r="E2" s="73">
        <v>2024.0</v>
      </c>
    </row>
    <row r="3">
      <c r="A3" s="74" t="s">
        <v>54</v>
      </c>
      <c r="B3" s="75">
        <v>7.5539904E7</v>
      </c>
      <c r="C3" s="75">
        <v>6.171330550000001E7</v>
      </c>
      <c r="D3" s="75">
        <v>5.75353625E7</v>
      </c>
      <c r="E3" s="75">
        <v>5.54779225E7</v>
      </c>
    </row>
    <row r="4">
      <c r="A4" s="74">
        <v>2021.0</v>
      </c>
      <c r="B4" s="75">
        <v>1.3186955649999999E8</v>
      </c>
      <c r="C4" s="75">
        <v>5.2597105E7</v>
      </c>
      <c r="D4" s="75">
        <v>4.5025838E7</v>
      </c>
      <c r="E4" s="75">
        <v>4.1006845E7</v>
      </c>
    </row>
    <row r="5">
      <c r="A5" s="74">
        <v>2022.0</v>
      </c>
      <c r="B5" s="75">
        <v>0.0</v>
      </c>
      <c r="C5" s="75">
        <v>1.061519525E8</v>
      </c>
      <c r="D5" s="75">
        <v>4.0414088E7</v>
      </c>
      <c r="E5" s="75">
        <v>3.1974173E7</v>
      </c>
    </row>
    <row r="6">
      <c r="A6" s="74">
        <v>2023.0</v>
      </c>
      <c r="B6" s="75">
        <v>0.0</v>
      </c>
      <c r="C6" s="75">
        <v>0.0</v>
      </c>
      <c r="D6" s="75">
        <v>1.2317463399999999E8</v>
      </c>
      <c r="E6" s="75">
        <v>4.4414436E7</v>
      </c>
    </row>
    <row r="7">
      <c r="A7" s="74">
        <v>2024.0</v>
      </c>
      <c r="B7" s="75">
        <v>0.0</v>
      </c>
      <c r="C7" s="75">
        <v>0.0</v>
      </c>
      <c r="D7" s="75">
        <v>0.0</v>
      </c>
      <c r="E7" s="75">
        <v>1.527273275E8</v>
      </c>
    </row>
    <row r="8">
      <c r="A8" s="72"/>
      <c r="B8" s="72"/>
      <c r="C8" s="72"/>
      <c r="D8" s="72"/>
      <c r="E8" s="72"/>
    </row>
    <row r="9">
      <c r="A9" s="71" t="s">
        <v>4</v>
      </c>
      <c r="B9" s="72"/>
      <c r="C9" s="72"/>
      <c r="D9" s="72"/>
      <c r="E9" s="72"/>
    </row>
    <row r="10">
      <c r="A10" s="72"/>
      <c r="B10" s="73">
        <v>2021.0</v>
      </c>
      <c r="C10" s="73">
        <v>2022.0</v>
      </c>
      <c r="D10" s="73">
        <v>2023.0</v>
      </c>
      <c r="E10" s="73">
        <v>2024.0</v>
      </c>
    </row>
    <row r="11">
      <c r="A11" s="74" t="s">
        <v>54</v>
      </c>
      <c r="B11" s="75">
        <v>3.74877415E7</v>
      </c>
      <c r="C11" s="75">
        <v>3.0335338E7</v>
      </c>
      <c r="D11" s="75">
        <v>2.74854745E7</v>
      </c>
      <c r="E11" s="75">
        <v>2.6831497E7</v>
      </c>
    </row>
    <row r="12">
      <c r="A12" s="74">
        <v>2021.0</v>
      </c>
      <c r="B12" s="75">
        <v>6.6061534E7</v>
      </c>
      <c r="C12" s="75">
        <v>2.5603149E7</v>
      </c>
      <c r="D12" s="75">
        <v>2.12661185E7</v>
      </c>
      <c r="E12" s="75">
        <v>1.9554051E7</v>
      </c>
    </row>
    <row r="13">
      <c r="A13" s="74">
        <v>2022.0</v>
      </c>
      <c r="B13" s="75">
        <v>0.0</v>
      </c>
      <c r="C13" s="75">
        <v>5.19678335E7</v>
      </c>
      <c r="D13" s="75">
        <v>1.9015788E7</v>
      </c>
      <c r="E13" s="75">
        <v>1.52587985E7</v>
      </c>
    </row>
    <row r="14">
      <c r="A14" s="74">
        <v>2023.0</v>
      </c>
      <c r="B14" s="75">
        <v>0.0</v>
      </c>
      <c r="C14" s="75">
        <v>0.0</v>
      </c>
      <c r="D14" s="75">
        <v>5.9071749E7</v>
      </c>
      <c r="E14" s="75">
        <v>2.09702955E7</v>
      </c>
    </row>
    <row r="15">
      <c r="A15" s="74">
        <v>2024.0</v>
      </c>
      <c r="B15" s="75">
        <v>0.0</v>
      </c>
      <c r="C15" s="75">
        <v>0.0</v>
      </c>
      <c r="D15" s="75">
        <v>0.0</v>
      </c>
      <c r="E15" s="75">
        <v>7.3401526E7</v>
      </c>
    </row>
    <row r="16">
      <c r="A16" s="72"/>
      <c r="B16" s="72"/>
      <c r="C16" s="72"/>
      <c r="D16" s="72"/>
      <c r="E16" s="72"/>
    </row>
    <row r="17">
      <c r="A17" s="71" t="s">
        <v>1</v>
      </c>
      <c r="B17" s="72"/>
      <c r="C17" s="72"/>
      <c r="D17" s="72"/>
      <c r="E17" s="72"/>
    </row>
    <row r="18">
      <c r="A18" s="72"/>
      <c r="B18" s="73">
        <v>2021.0</v>
      </c>
      <c r="C18" s="73">
        <v>2022.0</v>
      </c>
      <c r="D18" s="73">
        <v>2023.0</v>
      </c>
      <c r="E18" s="73">
        <v>2024.0</v>
      </c>
    </row>
    <row r="19">
      <c r="A19" s="74" t="s">
        <v>54</v>
      </c>
      <c r="B19" s="75">
        <v>5751.0</v>
      </c>
      <c r="C19" s="75">
        <v>4636.0</v>
      </c>
      <c r="D19" s="75">
        <v>4233.0</v>
      </c>
      <c r="E19" s="75">
        <v>3921.0</v>
      </c>
    </row>
    <row r="20">
      <c r="A20" s="74">
        <v>2021.0</v>
      </c>
      <c r="B20" s="75">
        <v>14915.0</v>
      </c>
      <c r="C20" s="75">
        <v>4107.0</v>
      </c>
      <c r="D20" s="75">
        <v>3491.0</v>
      </c>
      <c r="E20" s="75">
        <v>3075.0</v>
      </c>
    </row>
    <row r="21">
      <c r="A21" s="74">
        <v>2022.0</v>
      </c>
      <c r="B21" s="76"/>
      <c r="C21" s="75">
        <v>12720.0</v>
      </c>
      <c r="D21" s="75">
        <v>3389.0</v>
      </c>
      <c r="E21" s="75">
        <v>2686.0</v>
      </c>
    </row>
    <row r="22">
      <c r="A22" s="74">
        <v>2023.0</v>
      </c>
      <c r="B22" s="76"/>
      <c r="C22" s="76"/>
      <c r="D22" s="75">
        <v>15166.0</v>
      </c>
      <c r="E22" s="75">
        <v>3799.0</v>
      </c>
    </row>
    <row r="23">
      <c r="A23" s="74">
        <v>2024.0</v>
      </c>
      <c r="B23" s="76"/>
      <c r="C23" s="76"/>
      <c r="D23" s="76"/>
      <c r="E23" s="75">
        <v>18316.0</v>
      </c>
    </row>
    <row r="24">
      <c r="A24" s="72"/>
      <c r="B24" s="72"/>
      <c r="C24" s="72"/>
      <c r="D24" s="72"/>
      <c r="E24" s="72"/>
    </row>
    <row r="25">
      <c r="A25" s="71" t="s">
        <v>2</v>
      </c>
      <c r="B25" s="72"/>
      <c r="C25" s="72"/>
      <c r="D25" s="72"/>
      <c r="E25" s="72"/>
    </row>
    <row r="26">
      <c r="A26" s="72"/>
      <c r="B26" s="73">
        <v>2021.0</v>
      </c>
      <c r="C26" s="73">
        <v>2022.0</v>
      </c>
      <c r="D26" s="73">
        <v>2023.0</v>
      </c>
      <c r="E26" s="73">
        <v>2024.0</v>
      </c>
    </row>
    <row r="27">
      <c r="A27" s="74" t="s">
        <v>54</v>
      </c>
      <c r="B27" s="75">
        <v>13739.0</v>
      </c>
      <c r="C27" s="75">
        <v>11475.0</v>
      </c>
      <c r="D27" s="75">
        <v>11331.0</v>
      </c>
      <c r="E27" s="75">
        <v>10581.0</v>
      </c>
    </row>
    <row r="28">
      <c r="A28" s="74">
        <v>2021.0</v>
      </c>
      <c r="B28" s="75">
        <v>22911.0</v>
      </c>
      <c r="C28" s="75">
        <v>10035.0</v>
      </c>
      <c r="D28" s="75">
        <v>9346.0</v>
      </c>
      <c r="E28" s="75">
        <v>8197.0</v>
      </c>
    </row>
    <row r="29">
      <c r="A29" s="74">
        <v>2022.0</v>
      </c>
      <c r="B29" s="76"/>
      <c r="C29" s="75">
        <v>18640.0</v>
      </c>
      <c r="D29" s="75">
        <v>7992.0</v>
      </c>
      <c r="E29" s="75">
        <v>6336.0</v>
      </c>
    </row>
    <row r="30">
      <c r="A30" s="74">
        <v>2023.0</v>
      </c>
      <c r="B30" s="76"/>
      <c r="C30" s="76"/>
      <c r="D30" s="75">
        <v>22735.0</v>
      </c>
      <c r="E30" s="75">
        <v>9002.0</v>
      </c>
    </row>
    <row r="31">
      <c r="A31" s="74">
        <v>2024.0</v>
      </c>
      <c r="B31" s="76"/>
      <c r="C31" s="76"/>
      <c r="D31" s="76"/>
      <c r="E31" s="75">
        <v>27144.0</v>
      </c>
    </row>
  </sheetData>
  <drawing r:id="rId1"/>
</worksheet>
</file>