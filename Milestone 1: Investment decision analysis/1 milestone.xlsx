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ollection" sheetId="1" r:id="rId5"/>
    <sheet state="visible" name="Data preparation" sheetId="2" r:id="rId6"/>
    <sheet state="visible" name="Discriptive Statistics" sheetId="3" r:id="rId7"/>
    <sheet state="visible" name="Z outlierss" sheetId="4" r:id="rId8"/>
    <sheet state="visible" name="CV &amp; Sharpe ratio" sheetId="5" r:id="rId9"/>
    <sheet state="visible" name="Cov &amp; Correlation" sheetId="6" r:id="rId10"/>
    <sheet state="visible" name="ChiSq for MSFT" sheetId="7" r:id="rId11"/>
    <sheet state="visible" name="Chisq for AAPL" sheetId="8" r:id="rId12"/>
    <sheet state="visible" name="F test" sheetId="9" r:id="rId13"/>
    <sheet state="visible" name="Gegression" sheetId="10" r:id="rId14"/>
  </sheets>
  <definedNames/>
  <calcPr/>
</workbook>
</file>

<file path=xl/sharedStrings.xml><?xml version="1.0" encoding="utf-8"?>
<sst xmlns="http://schemas.openxmlformats.org/spreadsheetml/2006/main" count="1465" uniqueCount="1056">
  <si>
    <t>Date</t>
  </si>
  <si>
    <t>Open</t>
  </si>
  <si>
    <t>High</t>
  </si>
  <si>
    <t>Low</t>
  </si>
  <si>
    <t>Close</t>
  </si>
  <si>
    <t>Adj Close (MSFT)</t>
  </si>
  <si>
    <t>Volume</t>
  </si>
  <si>
    <t>Adj Close (AAPL)</t>
  </si>
  <si>
    <t>Adj Close (^GSPC)</t>
  </si>
  <si>
    <t>Mar 9, 2026</t>
  </si>
  <si>
    <t>404.92</t>
  </si>
  <si>
    <t>410.21</t>
  </si>
  <si>
    <t>403.50</t>
  </si>
  <si>
    <t>409.41</t>
  </si>
  <si>
    <t>30,073,800</t>
  </si>
  <si>
    <t>255.69</t>
  </si>
  <si>
    <t>261.15</t>
  </si>
  <si>
    <t>253.68</t>
  </si>
  <si>
    <t>259.88</t>
  </si>
  <si>
    <t>38,153,500</t>
  </si>
  <si>
    <t>6,699.80</t>
  </si>
  <si>
    <t>6,810.44</t>
  </si>
  <si>
    <t>6,636.04</t>
  </si>
  <si>
    <t>6,795.99</t>
  </si>
  <si>
    <t>6,709,410,000</t>
  </si>
  <si>
    <t>Mar 2, 2026</t>
  </si>
  <si>
    <t>392.86</t>
  </si>
  <si>
    <t>413.05</t>
  </si>
  <si>
    <t>390.63</t>
  </si>
  <si>
    <t>408.96</t>
  </si>
  <si>
    <t>179,607,300</t>
  </si>
  <si>
    <t>262.41</t>
  </si>
  <si>
    <t>266.53</t>
  </si>
  <si>
    <t>254.37</t>
  </si>
  <si>
    <t>257.46</t>
  </si>
  <si>
    <t>210,978,500</t>
  </si>
  <si>
    <t>6,824.36</t>
  </si>
  <si>
    <t>6,901.01</t>
  </si>
  <si>
    <t>6,710.42</t>
  </si>
  <si>
    <t>6,740.02</t>
  </si>
  <si>
    <t>29,555,750,000</t>
  </si>
  <si>
    <t>Feb 23, 2026</t>
  </si>
  <si>
    <t>395.00</t>
  </si>
  <si>
    <t>407.49</t>
  </si>
  <si>
    <t>381.71</t>
  </si>
  <si>
    <t>392.74</t>
  </si>
  <si>
    <t>206,521,600</t>
  </si>
  <si>
    <t>263.49</t>
  </si>
  <si>
    <t>276.11</t>
  </si>
  <si>
    <t>262.89</t>
  </si>
  <si>
    <t>264.18</t>
  </si>
  <si>
    <t>222,748,700</t>
  </si>
  <si>
    <t>6,901.25</t>
  </si>
  <si>
    <t>6,952.51</t>
  </si>
  <si>
    <t>6,815.43</t>
  </si>
  <si>
    <t>6,878.88</t>
  </si>
  <si>
    <t>28,787,710,000</t>
  </si>
  <si>
    <t>Feb 16, 2026</t>
  </si>
  <si>
    <t>399.22</t>
  </si>
  <si>
    <t>404.43</t>
  </si>
  <si>
    <t>394.53</t>
  </si>
  <si>
    <t>397.23</t>
  </si>
  <si>
    <t>396.33</t>
  </si>
  <si>
    <t>117,551,400</t>
  </si>
  <si>
    <t>258.05</t>
  </si>
  <si>
    <t>266.82</t>
  </si>
  <si>
    <t>255.54</t>
  </si>
  <si>
    <t>264.58</t>
  </si>
  <si>
    <t>165,588,200</t>
  </si>
  <si>
    <t>6,819.86</t>
  </si>
  <si>
    <t>6,915.86</t>
  </si>
  <si>
    <t>6,775.50</t>
  </si>
  <si>
    <t>6,909.51</t>
  </si>
  <si>
    <t>21,100,810,000</t>
  </si>
  <si>
    <t>Feb 9, 2026</t>
  </si>
  <si>
    <t>404.85</t>
  </si>
  <si>
    <t>423.68</t>
  </si>
  <si>
    <t>398.01</t>
  </si>
  <si>
    <t>401.32</t>
  </si>
  <si>
    <t>400.41</t>
  </si>
  <si>
    <t>207,723,400</t>
  </si>
  <si>
    <t>277.91</t>
  </si>
  <si>
    <t>280.18</t>
  </si>
  <si>
    <t>255.45</t>
  </si>
  <si>
    <t>255.78</t>
  </si>
  <si>
    <t>268,299,500</t>
  </si>
  <si>
    <t>6,917.26</t>
  </si>
  <si>
    <t>6,993.48</t>
  </si>
  <si>
    <t>6,794.55</t>
  </si>
  <si>
    <t>6,836.17</t>
  </si>
  <si>
    <t>30,258,780,000</t>
  </si>
  <si>
    <t>Feb 2, 2026</t>
  </si>
  <si>
    <t>430.24</t>
  </si>
  <si>
    <t>430.74</t>
  </si>
  <si>
    <t>392.32</t>
  </si>
  <si>
    <t>401.14</t>
  </si>
  <si>
    <t>400.23</t>
  </si>
  <si>
    <t>268,460,900</t>
  </si>
  <si>
    <t>260.03</t>
  </si>
  <si>
    <t>280.91</t>
  </si>
  <si>
    <t>259.21</t>
  </si>
  <si>
    <t>278.12</t>
  </si>
  <si>
    <t>277.86</t>
  </si>
  <si>
    <t>332,284,600</t>
  </si>
  <si>
    <t>6,916.64</t>
  </si>
  <si>
    <t>6,993.08</t>
  </si>
  <si>
    <t>6,780.13</t>
  </si>
  <si>
    <t>6,932.30</t>
  </si>
  <si>
    <t>33,538,260,000</t>
  </si>
  <si>
    <t>Jan 26, 2026</t>
  </si>
  <si>
    <t>465.31</t>
  </si>
  <si>
    <t>483.74</t>
  </si>
  <si>
    <t>421.02</t>
  </si>
  <si>
    <t>430.29</t>
  </si>
  <si>
    <t>429.31</t>
  </si>
  <si>
    <t>282,802,600</t>
  </si>
  <si>
    <t>251.48</t>
  </si>
  <si>
    <t>261.95</t>
  </si>
  <si>
    <t>249.80</t>
  </si>
  <si>
    <t>259.48</t>
  </si>
  <si>
    <t>259.24</t>
  </si>
  <si>
    <t>306,601,900</t>
  </si>
  <si>
    <t>6,923.23</t>
  </si>
  <si>
    <t>7,002.28</t>
  </si>
  <si>
    <t>6,870.80</t>
  </si>
  <si>
    <t>6,939.03</t>
  </si>
  <si>
    <t>29,382,560,000</t>
  </si>
  <si>
    <t>Jan 19, 2026</t>
  </si>
  <si>
    <t>451.22</t>
  </si>
  <si>
    <t>471.10</t>
  </si>
  <si>
    <t>438.68</t>
  </si>
  <si>
    <t>465.95</t>
  </si>
  <si>
    <t>464.89</t>
  </si>
  <si>
    <t>127,460,100</t>
  </si>
  <si>
    <t>252.73</t>
  </si>
  <si>
    <t>254.79</t>
  </si>
  <si>
    <t>243.42</t>
  </si>
  <si>
    <t>248.04</t>
  </si>
  <si>
    <t>247.81</t>
  </si>
  <si>
    <t>216,306,500</t>
  </si>
  <si>
    <t>6,865.24</t>
  </si>
  <si>
    <t>6,934.75</t>
  </si>
  <si>
    <t>6,789.05</t>
  </si>
  <si>
    <t>6,915.61</t>
  </si>
  <si>
    <t>21,784,530,000</t>
  </si>
  <si>
    <t>Jan 12, 2026</t>
  </si>
  <si>
    <t>476.67</t>
  </si>
  <si>
    <t>480.99</t>
  </si>
  <si>
    <t>455.90</t>
  </si>
  <si>
    <t>459.86</t>
  </si>
  <si>
    <t>458.81</t>
  </si>
  <si>
    <t>137,722,500</t>
  </si>
  <si>
    <t>259.16</t>
  </si>
  <si>
    <t>261.82</t>
  </si>
  <si>
    <t>254.93</t>
  </si>
  <si>
    <t>255.53</t>
  </si>
  <si>
    <t>255.29</t>
  </si>
  <si>
    <t>242,545,400</t>
  </si>
  <si>
    <t>6,944.12</t>
  </si>
  <si>
    <t>6,986.33</t>
  </si>
  <si>
    <t>6,885.74</t>
  </si>
  <si>
    <t>6,940.01</t>
  </si>
  <si>
    <t>26,112,200,000</t>
  </si>
  <si>
    <t>Jan 5, 2026</t>
  </si>
  <si>
    <t>474.06</t>
  </si>
  <si>
    <t>489.70</t>
  </si>
  <si>
    <t>469.50</t>
  </si>
  <si>
    <t>479.28</t>
  </si>
  <si>
    <t>478.19</t>
  </si>
  <si>
    <t>110,505,800</t>
  </si>
  <si>
    <t>270.64</t>
  </si>
  <si>
    <t>271.51</t>
  </si>
  <si>
    <t>255.70</t>
  </si>
  <si>
    <t>259.37</t>
  </si>
  <si>
    <t>259.13</t>
  </si>
  <si>
    <t>236,725,400</t>
  </si>
  <si>
    <t>6,892.19</t>
  </si>
  <si>
    <t>6,978.36</t>
  </si>
  <si>
    <t>6,891.56</t>
  </si>
  <si>
    <t>6,966.28</t>
  </si>
  <si>
    <t>26,993,190,000</t>
  </si>
  <si>
    <t>Dec 29, 2025</t>
  </si>
  <si>
    <t>484.86</t>
  </si>
  <si>
    <t>489.68</t>
  </si>
  <si>
    <t>470.16</t>
  </si>
  <si>
    <t>472.94</t>
  </si>
  <si>
    <t>471.86</t>
  </si>
  <si>
    <t>66,011,100</t>
  </si>
  <si>
    <t>272.69</t>
  </si>
  <si>
    <t>277.84</t>
  </si>
  <si>
    <t>269.00</t>
  </si>
  <si>
    <t>271.01</t>
  </si>
  <si>
    <t>270.76</t>
  </si>
  <si>
    <t>110,986,500</t>
  </si>
  <si>
    <t>6,903.60</t>
  </si>
  <si>
    <t>6,920.21</t>
  </si>
  <si>
    <t>6,824.31</t>
  </si>
  <si>
    <t>6,858.47</t>
  </si>
  <si>
    <t>14,297,630,000</t>
  </si>
  <si>
    <t>Dec 22, 2025</t>
  </si>
  <si>
    <t>486.12</t>
  </si>
  <si>
    <t>489.16</t>
  </si>
  <si>
    <t>482.69</t>
  </si>
  <si>
    <t>487.71</t>
  </si>
  <si>
    <t>486.60</t>
  </si>
  <si>
    <t>46,344,700</t>
  </si>
  <si>
    <t>272.86</t>
  </si>
  <si>
    <t>275.43</t>
  </si>
  <si>
    <t>269.56</t>
  </si>
  <si>
    <t>273.40</t>
  </si>
  <si>
    <t>273.14</t>
  </si>
  <si>
    <t>105,646,200</t>
  </si>
  <si>
    <t>6,865.21</t>
  </si>
  <si>
    <t>6,945.77</t>
  </si>
  <si>
    <t>6,855.74</t>
  </si>
  <si>
    <t>6,929.94</t>
  </si>
  <si>
    <t>12,670,410,000</t>
  </si>
  <si>
    <t>Dec 15, 2025</t>
  </si>
  <si>
    <t>480.10</t>
  </si>
  <si>
    <t>489.60</t>
  </si>
  <si>
    <t>470.88</t>
  </si>
  <si>
    <t>485.92</t>
  </si>
  <si>
    <t>484.81</t>
  </si>
  <si>
    <t>168,370,100</t>
  </si>
  <si>
    <t>280.15</t>
  </si>
  <si>
    <t>266.95</t>
  </si>
  <si>
    <t>273.67</t>
  </si>
  <si>
    <t>273.41</t>
  </si>
  <si>
    <t>334,459,100</t>
  </si>
  <si>
    <t>6,860.19</t>
  </si>
  <si>
    <t>6,861.59</t>
  </si>
  <si>
    <t>6,720.43</t>
  </si>
  <si>
    <t>6,834.50</t>
  </si>
  <si>
    <t>28,736,560,000</t>
  </si>
  <si>
    <t>Dec 8, 2025</t>
  </si>
  <si>
    <t>484.89</t>
  </si>
  <si>
    <t>492.30</t>
  </si>
  <si>
    <t>475.08</t>
  </si>
  <si>
    <t>478.53</t>
  </si>
  <si>
    <t>477.44</t>
  </si>
  <si>
    <t>118,335,500</t>
  </si>
  <si>
    <t>278.13</t>
  </si>
  <si>
    <t>280.03</t>
  </si>
  <si>
    <t>273.81</t>
  </si>
  <si>
    <t>278.28</t>
  </si>
  <si>
    <t>278.02</t>
  </si>
  <si>
    <t>176,224,300</t>
  </si>
  <si>
    <t>6,875.20</t>
  </si>
  <si>
    <t>6,903.46</t>
  </si>
  <si>
    <t>6,801.79</t>
  </si>
  <si>
    <t>6,827.41</t>
  </si>
  <si>
    <t>24,722,970,000</t>
  </si>
  <si>
    <t>Dec 1, 2025</t>
  </si>
  <si>
    <t>488.44</t>
  </si>
  <si>
    <t>493.50</t>
  </si>
  <si>
    <t>475.20</t>
  </si>
  <si>
    <t>483.16</t>
  </si>
  <si>
    <t>482.06</t>
  </si>
  <si>
    <t>123,068,700</t>
  </si>
  <si>
    <t>278.01</t>
  </si>
  <si>
    <t>288.62</t>
  </si>
  <si>
    <t>276.14</t>
  </si>
  <si>
    <t>278.78</t>
  </si>
  <si>
    <t>278.52</t>
  </si>
  <si>
    <t>235,050,800</t>
  </si>
  <si>
    <t>6,812.30</t>
  </si>
  <si>
    <t>6,895.78</t>
  </si>
  <si>
    <t>6,799.94</t>
  </si>
  <si>
    <t>6,870.40</t>
  </si>
  <si>
    <t>23,685,440,000</t>
  </si>
  <si>
    <t>Nov 24, 2025</t>
  </si>
  <si>
    <t>475.00</t>
  </si>
  <si>
    <t>492.63</t>
  </si>
  <si>
    <t>492.01</t>
  </si>
  <si>
    <t>490.89</t>
  </si>
  <si>
    <t>102,536,600</t>
  </si>
  <si>
    <t>270.90</t>
  </si>
  <si>
    <t>280.38</t>
  </si>
  <si>
    <t>278.85</t>
  </si>
  <si>
    <t>278.59</t>
  </si>
  <si>
    <t>166,067,000</t>
  </si>
  <si>
    <t>6,636.54</t>
  </si>
  <si>
    <t>6,850.86</t>
  </si>
  <si>
    <t>6,630.70</t>
  </si>
  <si>
    <t>6,849.09</t>
  </si>
  <si>
    <t>18,086,610,000</t>
  </si>
  <si>
    <t>Nov 17, 2025</t>
  </si>
  <si>
    <t>508.45</t>
  </si>
  <si>
    <t>512.12</t>
  </si>
  <si>
    <t>468.27</t>
  </si>
  <si>
    <t>472.12</t>
  </si>
  <si>
    <t>134,724,900</t>
  </si>
  <si>
    <t>268.82</t>
  </si>
  <si>
    <t>265.32</t>
  </si>
  <si>
    <t>271.49</t>
  </si>
  <si>
    <t>271.24</t>
  </si>
  <si>
    <t>235,974,500</t>
  </si>
  <si>
    <t>6,713.61</t>
  </si>
  <si>
    <t>6,770.35</t>
  </si>
  <si>
    <t>6,521.92</t>
  </si>
  <si>
    <t>6,602.99</t>
  </si>
  <si>
    <t>26,911,230,000</t>
  </si>
  <si>
    <t>Nov 10, 2025</t>
  </si>
  <si>
    <t>500.04</t>
  </si>
  <si>
    <t>513.50</t>
  </si>
  <si>
    <t>497.44</t>
  </si>
  <si>
    <t>510.18</t>
  </si>
  <si>
    <t>508.07</t>
  </si>
  <si>
    <t>124,435,200</t>
  </si>
  <si>
    <t>268.96</t>
  </si>
  <si>
    <t>276.70</t>
  </si>
  <si>
    <t>267.46</t>
  </si>
  <si>
    <t>272.41</t>
  </si>
  <si>
    <t>271.89</t>
  </si>
  <si>
    <t>232,952,800</t>
  </si>
  <si>
    <t>6,785.36</t>
  </si>
  <si>
    <t>6,869.91</t>
  </si>
  <si>
    <t>6,646.87</t>
  </si>
  <si>
    <t>6,734.11</t>
  </si>
  <si>
    <t>26,159,530,000</t>
  </si>
  <si>
    <t>Nov 3, 2025</t>
  </si>
  <si>
    <t>519.81</t>
  </si>
  <si>
    <t>524.96</t>
  </si>
  <si>
    <t>493.25</t>
  </si>
  <si>
    <t>496.82</t>
  </si>
  <si>
    <t>494.76</t>
  </si>
  <si>
    <t>117,784,000</t>
  </si>
  <si>
    <t>270.42</t>
  </si>
  <si>
    <t>266.25</t>
  </si>
  <si>
    <t>268.47</t>
  </si>
  <si>
    <t>267.96</t>
  </si>
  <si>
    <t>242,583,900</t>
  </si>
  <si>
    <t>6,882.32</t>
  </si>
  <si>
    <t>6,631.44</t>
  </si>
  <si>
    <t>6,728.80</t>
  </si>
  <si>
    <t>29,722,800,000</t>
  </si>
  <si>
    <t>Oct 27, 2025</t>
  </si>
  <si>
    <t>531.78</t>
  </si>
  <si>
    <t>553.72</t>
  </si>
  <si>
    <t>515.10</t>
  </si>
  <si>
    <t>517.81</t>
  </si>
  <si>
    <t>515.67</t>
  </si>
  <si>
    <t>159,773,900</t>
  </si>
  <si>
    <t>264.88</t>
  </si>
  <si>
    <t>277.32</t>
  </si>
  <si>
    <t>264.65</t>
  </si>
  <si>
    <t>270.37</t>
  </si>
  <si>
    <t>269.86</t>
  </si>
  <si>
    <t>293,563,300</t>
  </si>
  <si>
    <t>6,845.46</t>
  </si>
  <si>
    <t>6,920.34</t>
  </si>
  <si>
    <t>6,814.26</t>
  </si>
  <si>
    <t>6,840.20</t>
  </si>
  <si>
    <t>29,717,690,000</t>
  </si>
  <si>
    <t>Oct 20, 2025</t>
  </si>
  <si>
    <t>514.61</t>
  </si>
  <si>
    <t>525.35</t>
  </si>
  <si>
    <t>513.04</t>
  </si>
  <si>
    <t>523.61</t>
  </si>
  <si>
    <t>521.44</t>
  </si>
  <si>
    <t>78,770,400</t>
  </si>
  <si>
    <t>255.89</t>
  </si>
  <si>
    <t>265.29</t>
  </si>
  <si>
    <t>255.43</t>
  </si>
  <si>
    <t>262.82</t>
  </si>
  <si>
    <t>262.32</t>
  </si>
  <si>
    <t>253,202,800</t>
  </si>
  <si>
    <t>6,690.05</t>
  </si>
  <si>
    <t>6,807.11</t>
  </si>
  <si>
    <t>6,655.69</t>
  </si>
  <si>
    <t>6,791.69</t>
  </si>
  <si>
    <t>26,251,170,000</t>
  </si>
  <si>
    <t>Oct 13, 2025</t>
  </si>
  <si>
    <t>516.41</t>
  </si>
  <si>
    <t>517.19</t>
  </si>
  <si>
    <t>506.00</t>
  </si>
  <si>
    <t>513.58</t>
  </si>
  <si>
    <t>511.45</t>
  </si>
  <si>
    <t>79,090,600</t>
  </si>
  <si>
    <t>249.38</t>
  </si>
  <si>
    <t>253.38</t>
  </si>
  <si>
    <t>244.70</t>
  </si>
  <si>
    <t>252.29</t>
  </si>
  <si>
    <t>251.81</t>
  </si>
  <si>
    <t>196,438,500</t>
  </si>
  <si>
    <t>6,622.53</t>
  </si>
  <si>
    <t>6,724.12</t>
  </si>
  <si>
    <t>6,555.07</t>
  </si>
  <si>
    <t>6,664.01</t>
  </si>
  <si>
    <t>28,010,240,000</t>
  </si>
  <si>
    <t>Oct 6, 2025</t>
  </si>
  <si>
    <t>518.61</t>
  </si>
  <si>
    <t>531.03</t>
  </si>
  <si>
    <t>509.63</t>
  </si>
  <si>
    <t>510.96</t>
  </si>
  <si>
    <t>508.84</t>
  </si>
  <si>
    <t>91,844,600</t>
  </si>
  <si>
    <t>257.99</t>
  </si>
  <si>
    <t>259.07</t>
  </si>
  <si>
    <t>244.00</t>
  </si>
  <si>
    <t>245.27</t>
  </si>
  <si>
    <t>244.80</t>
  </si>
  <si>
    <t>213,437,900</t>
  </si>
  <si>
    <t>6,733.86</t>
  </si>
  <si>
    <t>6,764.58</t>
  </si>
  <si>
    <t>6,550.78</t>
  </si>
  <si>
    <t>6,552.51</t>
  </si>
  <si>
    <t>28,515,370,000</t>
  </si>
  <si>
    <t>Sep 29, 2025</t>
  </si>
  <si>
    <t>511.50</t>
  </si>
  <si>
    <t>521.60</t>
  </si>
  <si>
    <t>508.88</t>
  </si>
  <si>
    <t>517.35</t>
  </si>
  <si>
    <t>515.21</t>
  </si>
  <si>
    <t>96,313,500</t>
  </si>
  <si>
    <t>254.56</t>
  </si>
  <si>
    <t>253.01</t>
  </si>
  <si>
    <t>258.02</t>
  </si>
  <si>
    <t>257.53</t>
  </si>
  <si>
    <t>218,331,700</t>
  </si>
  <si>
    <t>6,661.58</t>
  </si>
  <si>
    <t>6,750.87</t>
  </si>
  <si>
    <t>6,641.00</t>
  </si>
  <si>
    <t>6,715.79</t>
  </si>
  <si>
    <t>28,583,160,000</t>
  </si>
  <si>
    <t>Sep 22, 2025</t>
  </si>
  <si>
    <t>515.59</t>
  </si>
  <si>
    <t>517.74</t>
  </si>
  <si>
    <t>505.04</t>
  </si>
  <si>
    <t>511.46</t>
  </si>
  <si>
    <t>509.34</t>
  </si>
  <si>
    <t>85,342,200</t>
  </si>
  <si>
    <t>248.30</t>
  </si>
  <si>
    <t>257.60</t>
  </si>
  <si>
    <t>248.12</t>
  </si>
  <si>
    <t>255.46</t>
  </si>
  <si>
    <t>254.97</t>
  </si>
  <si>
    <t>309,374,700</t>
  </si>
  <si>
    <t>6,654.28</t>
  </si>
  <si>
    <t>6,699.52</t>
  </si>
  <si>
    <t>6,569.22</t>
  </si>
  <si>
    <t>6,643.70</t>
  </si>
  <si>
    <t>27,713,200,000</t>
  </si>
  <si>
    <t>Sep 15, 2025</t>
  </si>
  <si>
    <t>508.79</t>
  </si>
  <si>
    <t>519.30</t>
  </si>
  <si>
    <t>505.93</t>
  </si>
  <si>
    <t>517.93</t>
  </si>
  <si>
    <t>515.79</t>
  </si>
  <si>
    <t>124,060,100</t>
  </si>
  <si>
    <t>237.00</t>
  </si>
  <si>
    <t>246.30</t>
  </si>
  <si>
    <t>235.03</t>
  </si>
  <si>
    <t>245.50</t>
  </si>
  <si>
    <t>245.03</t>
  </si>
  <si>
    <t>360,619,500</t>
  </si>
  <si>
    <t>6,603.49</t>
  </si>
  <si>
    <t>6,671.82</t>
  </si>
  <si>
    <t>6,551.15</t>
  </si>
  <si>
    <t>6,664.36</t>
  </si>
  <si>
    <t>30,628,230,000</t>
  </si>
  <si>
    <t>Sep 8, 2025</t>
  </si>
  <si>
    <t>498.11</t>
  </si>
  <si>
    <t>512.55</t>
  </si>
  <si>
    <t>495.03</t>
  </si>
  <si>
    <t>509.90</t>
  </si>
  <si>
    <t>507.79</t>
  </si>
  <si>
    <t>95,299,800</t>
  </si>
  <si>
    <t>239.30</t>
  </si>
  <si>
    <t>240.15</t>
  </si>
  <si>
    <t>225.95</t>
  </si>
  <si>
    <t>234.07</t>
  </si>
  <si>
    <t>233.62</t>
  </si>
  <si>
    <t>304,787,000</t>
  </si>
  <si>
    <t>6,498.09</t>
  </si>
  <si>
    <t>6,600.21</t>
  </si>
  <si>
    <t>6,483.08</t>
  </si>
  <si>
    <t>6,584.29</t>
  </si>
  <si>
    <t>25,330,960,000</t>
  </si>
  <si>
    <t>Sep 1, 2025</t>
  </si>
  <si>
    <t>500.47</t>
  </si>
  <si>
    <t>511.97</t>
  </si>
  <si>
    <t>492.37</t>
  </si>
  <si>
    <t>495.00</t>
  </si>
  <si>
    <t>492.95</t>
  </si>
  <si>
    <t>81,977,400</t>
  </si>
  <si>
    <t>229.25</t>
  </si>
  <si>
    <t>241.32</t>
  </si>
  <si>
    <t>226.97</t>
  </si>
  <si>
    <t>239.69</t>
  </si>
  <si>
    <t>239.23</t>
  </si>
  <si>
    <t>212,923,200</t>
  </si>
  <si>
    <t>6,401.51</t>
  </si>
  <si>
    <t>6,532.65</t>
  </si>
  <si>
    <t>6,360.58</t>
  </si>
  <si>
    <t>6,481.50</t>
  </si>
  <si>
    <t>18,986,250,000</t>
  </si>
  <si>
    <t>Aug 25, 2025</t>
  </si>
  <si>
    <t>506.63</t>
  </si>
  <si>
    <t>511.09</t>
  </si>
  <si>
    <t>498.51</t>
  </si>
  <si>
    <t>506.69</t>
  </si>
  <si>
    <t>504.59</t>
  </si>
  <si>
    <t>108,729,400</t>
  </si>
  <si>
    <t>226.48</t>
  </si>
  <si>
    <t>233.41</t>
  </si>
  <si>
    <t>224.69</t>
  </si>
  <si>
    <t>232.14</t>
  </si>
  <si>
    <t>231.70</t>
  </si>
  <si>
    <t>194,310,800</t>
  </si>
  <si>
    <t>6,457.67</t>
  </si>
  <si>
    <t>6,508.23</t>
  </si>
  <si>
    <t>6,429.21</t>
  </si>
  <si>
    <t>6,460.26</t>
  </si>
  <si>
    <t>21,589,030,000</t>
  </si>
  <si>
    <t>Aug 18, 2025</t>
  </si>
  <si>
    <t>521.59</t>
  </si>
  <si>
    <t>522.82</t>
  </si>
  <si>
    <t>502.41</t>
  </si>
  <si>
    <t>507.23</t>
  </si>
  <si>
    <t>504.30</t>
  </si>
  <si>
    <t>115,732,100</t>
  </si>
  <si>
    <t>233.12</t>
  </si>
  <si>
    <t>223.78</t>
  </si>
  <si>
    <t>227.76</t>
  </si>
  <si>
    <t>227.33</t>
  </si>
  <si>
    <t>192,241,700</t>
  </si>
  <si>
    <t>6,445.02</t>
  </si>
  <si>
    <t>6,478.89</t>
  </si>
  <si>
    <t>6,343.86</t>
  </si>
  <si>
    <t>6,466.91</t>
  </si>
  <si>
    <t>22,070,540,000</t>
  </si>
  <si>
    <t>Aug 11, 2025</t>
  </si>
  <si>
    <t>522.30</t>
  </si>
  <si>
    <t>532.70</t>
  </si>
  <si>
    <t>519.08</t>
  </si>
  <si>
    <t>520.17</t>
  </si>
  <si>
    <t>517.17</t>
  </si>
  <si>
    <t>103,963,000</t>
  </si>
  <si>
    <t>227.92</t>
  </si>
  <si>
    <t>235.12</t>
  </si>
  <si>
    <t>224.76</t>
  </si>
  <si>
    <t>231.59</t>
  </si>
  <si>
    <t>230.89</t>
  </si>
  <si>
    <t>295,265,800</t>
  </si>
  <si>
    <t>6,389.67</t>
  </si>
  <si>
    <t>6,481.34</t>
  </si>
  <si>
    <t>6,364.06</t>
  </si>
  <si>
    <t>6,449.80</t>
  </si>
  <si>
    <t>24,020,760,000</t>
  </si>
  <si>
    <t>Aug 4, 2025</t>
  </si>
  <si>
    <t>528.27</t>
  </si>
  <si>
    <t>538.25</t>
  </si>
  <si>
    <t>517.55</t>
  </si>
  <si>
    <t>522.04</t>
  </si>
  <si>
    <t>519.02</t>
  </si>
  <si>
    <t>97,486,400</t>
  </si>
  <si>
    <t>204.51</t>
  </si>
  <si>
    <t>231.00</t>
  </si>
  <si>
    <t>201.68</t>
  </si>
  <si>
    <t>229.35</t>
  </si>
  <si>
    <t>228.65</t>
  </si>
  <si>
    <t>431,826,300</t>
  </si>
  <si>
    <t>6,271.71</t>
  </si>
  <si>
    <t>6,395.16</t>
  </si>
  <si>
    <t>6,389.45</t>
  </si>
  <si>
    <t>25,844,550,000</t>
  </si>
  <si>
    <t>Jul 28, 2025</t>
  </si>
  <si>
    <t>514.08</t>
  </si>
  <si>
    <t>555.45</t>
  </si>
  <si>
    <t>509.44</t>
  </si>
  <si>
    <t>524.11</t>
  </si>
  <si>
    <t>521.08</t>
  </si>
  <si>
    <t>137,752,500</t>
  </si>
  <si>
    <t>214.03</t>
  </si>
  <si>
    <t>214.85</t>
  </si>
  <si>
    <t>201.50</t>
  </si>
  <si>
    <t>202.38</t>
  </si>
  <si>
    <t>201.77</t>
  </si>
  <si>
    <t>319,915,100</t>
  </si>
  <si>
    <t>6,397.69</t>
  </si>
  <si>
    <t>6,427.02</t>
  </si>
  <si>
    <t>6,212.69</t>
  </si>
  <si>
    <t>6,238.01</t>
  </si>
  <si>
    <t>26,921,040,000</t>
  </si>
  <si>
    <t>Jul 21, 2025</t>
  </si>
  <si>
    <t>506.71</t>
  </si>
  <si>
    <t>518.29</t>
  </si>
  <si>
    <t>500.70</t>
  </si>
  <si>
    <t>513.71</t>
  </si>
  <si>
    <t>510.74</t>
  </si>
  <si>
    <t>79,564,700</t>
  </si>
  <si>
    <t>212.10</t>
  </si>
  <si>
    <t>215.78</t>
  </si>
  <si>
    <t>211.63</t>
  </si>
  <si>
    <t>213.88</t>
  </si>
  <si>
    <t>213.23</t>
  </si>
  <si>
    <t>231,062,200</t>
  </si>
  <si>
    <t>6,304.74</t>
  </si>
  <si>
    <t>6,395.82</t>
  </si>
  <si>
    <t>6,281.71</t>
  </si>
  <si>
    <t>6,388.64</t>
  </si>
  <si>
    <t>26,068,830,000</t>
  </si>
  <si>
    <t>Jul 14, 2025</t>
  </si>
  <si>
    <t>501.52</t>
  </si>
  <si>
    <t>514.64</t>
  </si>
  <si>
    <t>501.03</t>
  </si>
  <si>
    <t>510.05</t>
  </si>
  <si>
    <t>507.10</t>
  </si>
  <si>
    <t>80,853,200</t>
  </si>
  <si>
    <t>209.93</t>
  </si>
  <si>
    <t>212.40</t>
  </si>
  <si>
    <t>207.54</t>
  </si>
  <si>
    <t>211.18</t>
  </si>
  <si>
    <t>210.54</t>
  </si>
  <si>
    <t>225,669,600</t>
  </si>
  <si>
    <t>6,255.15</t>
  </si>
  <si>
    <t>6,315.61</t>
  </si>
  <si>
    <t>6,201.59</t>
  </si>
  <si>
    <t>6,296.79</t>
  </si>
  <si>
    <t>25,730,370,000</t>
  </si>
  <si>
    <t>Jul 7, 2025</t>
  </si>
  <si>
    <t>497.38</t>
  </si>
  <si>
    <t>506.78</t>
  </si>
  <si>
    <t>494.11</t>
  </si>
  <si>
    <t>503.32</t>
  </si>
  <si>
    <t>500.41</t>
  </si>
  <si>
    <t>77,439,300</t>
  </si>
  <si>
    <t>212.68</t>
  </si>
  <si>
    <t>216.23</t>
  </si>
  <si>
    <t>207.22</t>
  </si>
  <si>
    <t>211.16</t>
  </si>
  <si>
    <t>210.52</t>
  </si>
  <si>
    <t>226,036,700</t>
  </si>
  <si>
    <t>6,259.04</t>
  </si>
  <si>
    <t>6,290.22</t>
  </si>
  <si>
    <t>6,201.00</t>
  </si>
  <si>
    <t>6,259.75</t>
  </si>
  <si>
    <t>25,812,670,000</t>
  </si>
  <si>
    <t>Jun 30, 2025</t>
  </si>
  <si>
    <t>497.04</t>
  </si>
  <si>
    <t>500.76</t>
  </si>
  <si>
    <t>488.70</t>
  </si>
  <si>
    <t>498.84</t>
  </si>
  <si>
    <t>495.96</t>
  </si>
  <si>
    <t>78,618,800</t>
  </si>
  <si>
    <t>202.01</t>
  </si>
  <si>
    <t>214.65</t>
  </si>
  <si>
    <t>199.26</t>
  </si>
  <si>
    <t>213.55</t>
  </si>
  <si>
    <t>212.90</t>
  </si>
  <si>
    <t>273,599,300</t>
  </si>
  <si>
    <t>6,193.36</t>
  </si>
  <si>
    <t>6,284.65</t>
  </si>
  <si>
    <t>6,174.97</t>
  </si>
  <si>
    <t>6,279.35</t>
  </si>
  <si>
    <t>21,082,030,000</t>
  </si>
  <si>
    <t>Jun 23, 2025</t>
  </si>
  <si>
    <t>478.21</t>
  </si>
  <si>
    <t>499.30</t>
  </si>
  <si>
    <t>472.51</t>
  </si>
  <si>
    <t>495.94</t>
  </si>
  <si>
    <t>493.08</t>
  </si>
  <si>
    <t>120,782,800</t>
  </si>
  <si>
    <t>201.63</t>
  </si>
  <si>
    <t>203.67</t>
  </si>
  <si>
    <t>198.96</t>
  </si>
  <si>
    <t>201.08</t>
  </si>
  <si>
    <t>200.47</t>
  </si>
  <si>
    <t>273,391,700</t>
  </si>
  <si>
    <t>5,969.67</t>
  </si>
  <si>
    <t>6,187.68</t>
  </si>
  <si>
    <t>5,943.23</t>
  </si>
  <si>
    <t>6,173.07</t>
  </si>
  <si>
    <t>29,409,290,000</t>
  </si>
  <si>
    <t>Jun 16, 2025</t>
  </si>
  <si>
    <t>475.21</t>
  </si>
  <si>
    <t>483.46</t>
  </si>
  <si>
    <t>474.08</t>
  </si>
  <si>
    <t>477.40</t>
  </si>
  <si>
    <t>474.64</t>
  </si>
  <si>
    <t>86,142,900</t>
  </si>
  <si>
    <t>197.30</t>
  </si>
  <si>
    <t>201.70</t>
  </si>
  <si>
    <t>195.07</t>
  </si>
  <si>
    <t>201.00</t>
  </si>
  <si>
    <t>200.39</t>
  </si>
  <si>
    <t>224,085,100</t>
  </si>
  <si>
    <t>6,004.00</t>
  </si>
  <si>
    <t>6,050.83</t>
  </si>
  <si>
    <t>5,952.56</t>
  </si>
  <si>
    <t>5,967.84</t>
  </si>
  <si>
    <t>22,625,380,000</t>
  </si>
  <si>
    <t>Jun 9, 2025</t>
  </si>
  <si>
    <t>469.70</t>
  </si>
  <si>
    <t>480.42</t>
  </si>
  <si>
    <t>466.96</t>
  </si>
  <si>
    <t>474.96</t>
  </si>
  <si>
    <t>472.22</t>
  </si>
  <si>
    <t>84,010,100</t>
  </si>
  <si>
    <t>204.39</t>
  </si>
  <si>
    <t>206.00</t>
  </si>
  <si>
    <t>195.70</t>
  </si>
  <si>
    <t>196.45</t>
  </si>
  <si>
    <t>195.85</t>
  </si>
  <si>
    <t>283,877,000</t>
  </si>
  <si>
    <t>6,004.63</t>
  </si>
  <si>
    <t>6,059.40</t>
  </si>
  <si>
    <t>5,963.21</t>
  </si>
  <si>
    <t>5,976.97</t>
  </si>
  <si>
    <t>24,565,200,000</t>
  </si>
  <si>
    <t>Jun 2, 2025</t>
  </si>
  <si>
    <t>457.14</t>
  </si>
  <si>
    <t>473.34</t>
  </si>
  <si>
    <t>456.89</t>
  </si>
  <si>
    <t>470.38</t>
  </si>
  <si>
    <t>467.66</t>
  </si>
  <si>
    <t>81,950,300</t>
  </si>
  <si>
    <t>200.28</t>
  </si>
  <si>
    <t>206.24</t>
  </si>
  <si>
    <t>200.12</t>
  </si>
  <si>
    <t>203.92</t>
  </si>
  <si>
    <t>203.30</t>
  </si>
  <si>
    <t>227,142,700</t>
  </si>
  <si>
    <t>5,896.68</t>
  </si>
  <si>
    <t>6,016.87</t>
  </si>
  <si>
    <t>5,861.43</t>
  </si>
  <si>
    <t>6,000.36</t>
  </si>
  <si>
    <t>24,073,530,000</t>
  </si>
  <si>
    <t>May 26, 2025</t>
  </si>
  <si>
    <t>456.48</t>
  </si>
  <si>
    <t>462.52</t>
  </si>
  <si>
    <t>455.31</t>
  </si>
  <si>
    <t>460.36</t>
  </si>
  <si>
    <t>457.70</t>
  </si>
  <si>
    <t>86,805,900</t>
  </si>
  <si>
    <t>198.30</t>
  </si>
  <si>
    <t>203.81</t>
  </si>
  <si>
    <t>196.78</t>
  </si>
  <si>
    <t>200.85</t>
  </si>
  <si>
    <t>200.24</t>
  </si>
  <si>
    <t>223,844,900</t>
  </si>
  <si>
    <t>5,854.07</t>
  </si>
  <si>
    <t>5,943.13</t>
  </si>
  <si>
    <t>5,843.66</t>
  </si>
  <si>
    <t>5,911.69</t>
  </si>
  <si>
    <t>20,979,720,000</t>
  </si>
  <si>
    <t>May 19, 2025</t>
  </si>
  <si>
    <t>450.88</t>
  </si>
  <si>
    <t>460.25</t>
  </si>
  <si>
    <t>448.91</t>
  </si>
  <si>
    <t>450.18</t>
  </si>
  <si>
    <t>447.58</t>
  </si>
  <si>
    <t>90,904,300</t>
  </si>
  <si>
    <t>207.91</t>
  </si>
  <si>
    <t>209.48</t>
  </si>
  <si>
    <t>193.46</t>
  </si>
  <si>
    <t>195.27</t>
  </si>
  <si>
    <t>194.68</t>
  </si>
  <si>
    <t>273,024,200</t>
  </si>
  <si>
    <t>5,902.88</t>
  </si>
  <si>
    <t>5,968.61</t>
  </si>
  <si>
    <t>5,767.41</t>
  </si>
  <si>
    <t>5,802.82</t>
  </si>
  <si>
    <t>23,634,980,000</t>
  </si>
  <si>
    <t>May 12, 2025</t>
  </si>
  <si>
    <t>445.94</t>
  </si>
  <si>
    <t>456.19</t>
  </si>
  <si>
    <t>439.78</t>
  </si>
  <si>
    <t>454.27</t>
  </si>
  <si>
    <t>450.82</t>
  </si>
  <si>
    <t>112,185,600</t>
  </si>
  <si>
    <t>210.97</t>
  </si>
  <si>
    <t>213.94</t>
  </si>
  <si>
    <t>206.75</t>
  </si>
  <si>
    <t>211.26</t>
  </si>
  <si>
    <t>210.34</t>
  </si>
  <si>
    <t>264,778,300</t>
  </si>
  <si>
    <t>5,807.20</t>
  </si>
  <si>
    <t>5,958.62</t>
  </si>
  <si>
    <t>5,786.08</t>
  </si>
  <si>
    <t>5,958.38</t>
  </si>
  <si>
    <t>26,606,460,000</t>
  </si>
  <si>
    <t>May 5, 2025</t>
  </si>
  <si>
    <t>432.87</t>
  </si>
  <si>
    <t>443.67</t>
  </si>
  <si>
    <t>431.11</t>
  </si>
  <si>
    <t>438.73</t>
  </si>
  <si>
    <t>435.40</t>
  </si>
  <si>
    <t>97,351,100</t>
  </si>
  <si>
    <t>203.10</t>
  </si>
  <si>
    <t>204.10</t>
  </si>
  <si>
    <t>193.25</t>
  </si>
  <si>
    <t>198.53</t>
  </si>
  <si>
    <t>197.67</t>
  </si>
  <si>
    <t>275,704,500</t>
  </si>
  <si>
    <t>5,655.32</t>
  </si>
  <si>
    <t>5,720.10</t>
  </si>
  <si>
    <t>5,578.64</t>
  </si>
  <si>
    <t>5,659.91</t>
  </si>
  <si>
    <t>24,335,450,000</t>
  </si>
  <si>
    <t>Apr 28, 2025</t>
  </si>
  <si>
    <t>391.96</t>
  </si>
  <si>
    <t>439.44</t>
  </si>
  <si>
    <t>384.44</t>
  </si>
  <si>
    <t>435.28</t>
  </si>
  <si>
    <t>431.97</t>
  </si>
  <si>
    <t>157,710,000</t>
  </si>
  <si>
    <t>210.00</t>
  </si>
  <si>
    <t>214.56</t>
  </si>
  <si>
    <t>202.16</t>
  </si>
  <si>
    <t>205.35</t>
  </si>
  <si>
    <t>204.46</t>
  </si>
  <si>
    <t>286,233,500</t>
  </si>
  <si>
    <t>5,529.22</t>
  </si>
  <si>
    <t>5,700.70</t>
  </si>
  <si>
    <t>5,433.24</t>
  </si>
  <si>
    <t>5,686.67</t>
  </si>
  <si>
    <t>24,244,170,000</t>
  </si>
  <si>
    <t>Apr 21, 2025</t>
  </si>
  <si>
    <t>362.82</t>
  </si>
  <si>
    <t>392.16</t>
  </si>
  <si>
    <t>355.67</t>
  </si>
  <si>
    <t>391.85</t>
  </si>
  <si>
    <t>388.87</t>
  </si>
  <si>
    <t>102,043,300</t>
  </si>
  <si>
    <t>193.27</t>
  </si>
  <si>
    <t>209.75</t>
  </si>
  <si>
    <t>189.81</t>
  </si>
  <si>
    <t>209.28</t>
  </si>
  <si>
    <t>208.37</t>
  </si>
  <si>
    <t>238,181,400</t>
  </si>
  <si>
    <t>5,232.94</t>
  </si>
  <si>
    <t>5,528.11</t>
  </si>
  <si>
    <t>5,101.63</t>
  </si>
  <si>
    <t>5,525.21</t>
  </si>
  <si>
    <t>23,198,970,000</t>
  </si>
  <si>
    <t>Apr 14, 2025</t>
  </si>
  <si>
    <t>393.22</t>
  </si>
  <si>
    <t>394.65</t>
  </si>
  <si>
    <t>366.89</t>
  </si>
  <si>
    <t>367.78</t>
  </si>
  <si>
    <t>364.99</t>
  </si>
  <si>
    <t>79,539,100</t>
  </si>
  <si>
    <t>211.44</t>
  </si>
  <si>
    <t>212.94</t>
  </si>
  <si>
    <t>192.37</t>
  </si>
  <si>
    <t>196.98</t>
  </si>
  <si>
    <t>196.13</t>
  </si>
  <si>
    <t>264,593,900</t>
  </si>
  <si>
    <t>5,441.96</t>
  </si>
  <si>
    <t>5,459.46</t>
  </si>
  <si>
    <t>5,220.79</t>
  </si>
  <si>
    <t>5,282.70</t>
  </si>
  <si>
    <t>18,671,180,000</t>
  </si>
  <si>
    <t>Apr 7, 2025</t>
  </si>
  <si>
    <t>350.88</t>
  </si>
  <si>
    <t>393.23</t>
  </si>
  <si>
    <t>344.79</t>
  </si>
  <si>
    <t>388.45</t>
  </si>
  <si>
    <t>385.50</t>
  </si>
  <si>
    <t>198,357,200</t>
  </si>
  <si>
    <t>177.20</t>
  </si>
  <si>
    <t>200.61</t>
  </si>
  <si>
    <t>169.21</t>
  </si>
  <si>
    <t>198.15</t>
  </si>
  <si>
    <t>197.29</t>
  </si>
  <si>
    <t>675,037,600</t>
  </si>
  <si>
    <t>4,953.79</t>
  </si>
  <si>
    <t>5,481.34</t>
  </si>
  <si>
    <t>4,835.04</t>
  </si>
  <si>
    <t>5,363.36</t>
  </si>
  <si>
    <t>37,869,410,000</t>
  </si>
  <si>
    <t>Mar 31, 2025</t>
  </si>
  <si>
    <t>372.54</t>
  </si>
  <si>
    <t>385.08</t>
  </si>
  <si>
    <t>359.48</t>
  </si>
  <si>
    <t>359.84</t>
  </si>
  <si>
    <t>357.11</t>
  </si>
  <si>
    <t>150,374,700</t>
  </si>
  <si>
    <t>217.01</t>
  </si>
  <si>
    <t>225.62</t>
  </si>
  <si>
    <t>187.34</t>
  </si>
  <si>
    <t>188.38</t>
  </si>
  <si>
    <t>187.56</t>
  </si>
  <si>
    <t>366,947,800</t>
  </si>
  <si>
    <t>5,527.91</t>
  </si>
  <si>
    <t>5,695.31</t>
  </si>
  <si>
    <t>5,069.90</t>
  </si>
  <si>
    <t>5,074.08</t>
  </si>
  <si>
    <t>29,999,550,000</t>
  </si>
  <si>
    <t>Mar 24, 2025</t>
  </si>
  <si>
    <t>395.40</t>
  </si>
  <si>
    <t>396.36</t>
  </si>
  <si>
    <t>376.93</t>
  </si>
  <si>
    <t>378.80</t>
  </si>
  <si>
    <t>375.92</t>
  </si>
  <si>
    <t>88,286,700</t>
  </si>
  <si>
    <t>221.00</t>
  </si>
  <si>
    <t>225.02</t>
  </si>
  <si>
    <t>217.68</t>
  </si>
  <si>
    <t>217.90</t>
  </si>
  <si>
    <t>216.95</t>
  </si>
  <si>
    <t>190,172,600</t>
  </si>
  <si>
    <t>5,718.08</t>
  </si>
  <si>
    <t>5,786.95</t>
  </si>
  <si>
    <t>5,572.42</t>
  </si>
  <si>
    <t>5,580.94</t>
  </si>
  <si>
    <t>22,085,260,000</t>
  </si>
  <si>
    <t>Mar 17, 2025</t>
  </si>
  <si>
    <t>386.70</t>
  </si>
  <si>
    <t>392.71</t>
  </si>
  <si>
    <t>381.10</t>
  </si>
  <si>
    <t>391.26</t>
  </si>
  <si>
    <t>388.29</t>
  </si>
  <si>
    <t>119,293,100</t>
  </si>
  <si>
    <t>213.31</t>
  </si>
  <si>
    <t>218.84</t>
  </si>
  <si>
    <t>209.97</t>
  </si>
  <si>
    <t>218.27</t>
  </si>
  <si>
    <t>217.32</t>
  </si>
  <si>
    <t>287,881,900</t>
  </si>
  <si>
    <t>5,635.60</t>
  </si>
  <si>
    <t>5,715.33</t>
  </si>
  <si>
    <t>5,597.76</t>
  </si>
  <si>
    <t>5,667.56</t>
  </si>
  <si>
    <t>28,404,010,000</t>
  </si>
  <si>
    <t>Mar 10, 2025</t>
  </si>
  <si>
    <t>385.84</t>
  </si>
  <si>
    <t>390.23</t>
  </si>
  <si>
    <t>376.91</t>
  </si>
  <si>
    <t>388.56</t>
  </si>
  <si>
    <t>385.61</t>
  </si>
  <si>
    <t>127,899,700</t>
  </si>
  <si>
    <t>235.54</t>
  </si>
  <si>
    <t>236.16</t>
  </si>
  <si>
    <t>208.42</t>
  </si>
  <si>
    <t>213.49</t>
  </si>
  <si>
    <t>212.56</t>
  </si>
  <si>
    <t>332,232,000</t>
  </si>
  <si>
    <t>5,705.37</t>
  </si>
  <si>
    <t>5,504.65</t>
  </si>
  <si>
    <t>5,638.94</t>
  </si>
  <si>
    <t>27,732,600,000</t>
  </si>
  <si>
    <t>NasdaqGS - Nasdaq Real Time Price • USD</t>
  </si>
  <si>
    <t>Microsoft Corporation (MSFT)</t>
  </si>
  <si>
    <t>Apple Inc. (AAPL)</t>
  </si>
  <si>
    <r>
      <rPr>
        <b/>
        <color rgb="FF1155CC"/>
        <sz val="11.0"/>
        <u/>
      </rPr>
      <t>Is MSFT a long-term buy?</t>
    </r>
  </si>
  <si>
    <r>
      <rPr>
        <b/>
        <color rgb="FF1155CC"/>
        <sz val="10.0"/>
        <u/>
      </rPr>
      <t>Time to act on AAPL?</t>
    </r>
  </si>
  <si>
    <t>SNP - Delayed Quote • USD</t>
  </si>
  <si>
    <t>409.41 +0.45 (+0.11%)</t>
  </si>
  <si>
    <t>259.88 +2.42 (+0.94%)</t>
  </si>
  <si>
    <t>S&amp;P 500 (^GSPC)</t>
  </si>
  <si>
    <t>At close: 4:00:02 PM EDT</t>
  </si>
  <si>
    <t>At close: 4:00:03 PM EDT</t>
  </si>
  <si>
    <t>6,795.99 +55.97 (+0.83%)</t>
  </si>
  <si>
    <t>408.73 -0.68 (-0.17%)</t>
  </si>
  <si>
    <t>259.31 -0.57 (-0.22%)</t>
  </si>
  <si>
    <t>At close: 4:49:39 PM EDT</t>
  </si>
  <si>
    <t>Pre-Market: 7:48:07 AM EDT</t>
  </si>
  <si>
    <t>Pre-Market: 7:49:20 AM EDT</t>
  </si>
  <si>
    <t xml:space="preserve"> MSFT</t>
  </si>
  <si>
    <t>AAPL</t>
  </si>
  <si>
    <t>GSPC</t>
  </si>
  <si>
    <t>Arithmetic Weekly Return For MSFT</t>
  </si>
  <si>
    <t>Arithmetic Weekly Return For AAPL</t>
  </si>
  <si>
    <t>Arithmetic Weekly Return For GSPC</t>
  </si>
  <si>
    <t>Geometric Weekly Return for For MSFT</t>
  </si>
  <si>
    <t>Geometric Weekly Return for For AAPL</t>
  </si>
  <si>
    <t>Geometric Weekly Return for For GSPC</t>
  </si>
  <si>
    <t>MSFT</t>
  </si>
  <si>
    <t>Max</t>
  </si>
  <si>
    <t>Min</t>
  </si>
  <si>
    <t>Range</t>
  </si>
  <si>
    <t>Q3</t>
  </si>
  <si>
    <t>Q1</t>
  </si>
  <si>
    <t>IQR</t>
  </si>
  <si>
    <t>Mean</t>
  </si>
  <si>
    <t>Mean Absolute Deviation</t>
  </si>
  <si>
    <t>Sample Variance</t>
  </si>
  <si>
    <t>Sample Standard Deviation</t>
  </si>
  <si>
    <t>Z min</t>
  </si>
  <si>
    <t>Z max</t>
  </si>
  <si>
    <t>CV</t>
  </si>
  <si>
    <t>T bill</t>
  </si>
  <si>
    <t>Sharpe ratio</t>
  </si>
  <si>
    <t>Cov</t>
  </si>
  <si>
    <t xml:space="preserve">Correlation </t>
  </si>
  <si>
    <t>R^2</t>
  </si>
  <si>
    <t>It is claimed that the annual standard deviation of returns for Microsoft (MSFT) is 15%. To test this statement using our weekly dataset, we convert the annual value into a weekly standard deviation of 2.08%. A random sample of 53 weekly returns from March 2025 to March 2026 resulted in a sample standard deviation of 0.0351. At the 0.05 significance level, we apply a Chi-Square test to examine whether the true weekly volatility of Microsoft returns is significantly higher than the claimed weekly standard deviation of 2.08%.</t>
  </si>
  <si>
    <t xml:space="preserve">15% annual standard deviation -&gt; into 2.08% weekly standard deviation </t>
  </si>
  <si>
    <t>0.15/sqrt(54)</t>
  </si>
  <si>
    <t>χ² = DOF*s² / σ₀²</t>
  </si>
  <si>
    <t>p value = P(χ² ≥ 148.4012361)</t>
  </si>
  <si>
    <t>H₀: σ² ≤ 0.0004</t>
  </si>
  <si>
    <t>p value ≈ 0.000000000033</t>
  </si>
  <si>
    <t>H₁: σ²  &gt; 0.0004</t>
  </si>
  <si>
    <t>Conclusion</t>
  </si>
  <si>
    <t>n</t>
  </si>
  <si>
    <t>p =0.000000000008 &lt; 0.05</t>
  </si>
  <si>
    <t>s</t>
  </si>
  <si>
    <t>Reject H₀.</t>
  </si>
  <si>
    <t>σ₀</t>
  </si>
  <si>
    <t>α</t>
  </si>
  <si>
    <t>There is sufficient evidence at the 5 percent level to conclude that the annual standard deviation of returns for Visa (V) is significantly higher than the manager's claim of 15%.</t>
  </si>
  <si>
    <t>DOF</t>
  </si>
  <si>
    <t xml:space="preserve">s² </t>
  </si>
  <si>
    <t xml:space="preserve">σ₀² </t>
  </si>
  <si>
    <t>χ²</t>
  </si>
  <si>
    <t>P value</t>
  </si>
  <si>
    <t xml:space="preserve">t is claimed that the annual standard deviation of returns for Apple (AAPL) is 15%. To test this statement using our weekly dataset, we convert the annual value into a weekly standard deviation of 2.04%. A random sample of 53 weekly returns from March 2025 to March 2026 resulted in a sample standard deviation of 0.043. At the 0.05 significance level, we apply a Chi-Square test to examine whether the true weekly volatility of Microsoft returns is significantly higher than the claimed weekly standard deviation of 2.04%.        </t>
  </si>
  <si>
    <t>p value ≈ 0.0000000000</t>
  </si>
  <si>
    <t>p = 0.0000000000 &lt; 0.05</t>
  </si>
  <si>
    <t>A financial analyst wants to test whether Microsoft is riskier than Apple using variance as the measure of risk. A random sample of 52 weekly returns from Microsoft has a sample variance of 0.001235. A random sample of 52 weekly returns from Apple has a sample variance of 0.001870. Assume returns are normally distributed, and the analyst intends to use a 5 percent significance level to determine if Microsoft is riskier than Apple.</t>
  </si>
  <si>
    <t>H₀:  σM² ≤ σA²</t>
  </si>
  <si>
    <t>H₁:  σM² &gt; σA²</t>
  </si>
  <si>
    <t>sM</t>
  </si>
  <si>
    <t>sA</t>
  </si>
  <si>
    <t>nM</t>
  </si>
  <si>
    <t>nA</t>
  </si>
  <si>
    <t xml:space="preserve">sM² </t>
  </si>
  <si>
    <t xml:space="preserve">sA² </t>
  </si>
  <si>
    <t>dofM</t>
  </si>
  <si>
    <t>dofV</t>
  </si>
  <si>
    <t>F = s₁² / s₂²</t>
  </si>
  <si>
    <t>Critical value</t>
  </si>
  <si>
    <t>Decision rule in term of critical value</t>
  </si>
  <si>
    <t>0.66&lt;1.58</t>
  </si>
  <si>
    <t>do not regect H₀</t>
  </si>
  <si>
    <t>Decision rule in terms of p value</t>
  </si>
  <si>
    <t>0.93&gt;0.05</t>
  </si>
  <si>
    <t>Based on the test results, there is insufficient evidence at the 5 percent significance level to conclude that Microsoft is riskier than Apple. Therefore, we fail to reject the null hypothesis that the variance of Microsoft is less than or equal to the variance of Apple.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</si>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</sst>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0000"/>
    <numFmt numFmtId="166" formatCode="0.000000000000"/>
    <numFmt numFmtId="167" formatCode="0.000000"/>
    <numFmt numFmtId="168" formatCode="0.0000000000"/>
  </numFmts>
  <fonts count="21">
    <font>
      <sz val="10.0"/>
      <color rgb="FF000000"/>
      <name val="Arial"/>
      <scheme val="minor"/>
    </font>
    <font>
      <b/>
      <color rgb="FF000000"/>
      <name val="Arial"/>
      <scheme val="minor"/>
    </font>
    <font>
      <color rgb="FF000000"/>
      <name val="Arial"/>
      <scheme val="minor"/>
    </font>
    <font>
      <sz val="11.0"/>
      <color rgb="FF000000"/>
      <name val="Arial"/>
      <scheme val="minor"/>
    </font>
    <font>
      <sz val="11.0"/>
      <color theme="1"/>
      <name val="Arial"/>
      <scheme val="minor"/>
    </font>
    <font>
      <b/>
      <sz val="11.0"/>
      <color rgb="FF000000"/>
      <name val="Arial"/>
      <scheme val="minor"/>
    </font>
    <font>
      <b/>
      <sz val="10.0"/>
      <color rgb="FF000000"/>
      <name val="Arial"/>
      <scheme val="minor"/>
    </font>
    <font>
      <b/>
      <u/>
      <sz val="11.0"/>
      <color rgb="FF000000"/>
    </font>
    <font>
      <b/>
      <u/>
      <sz val="10.0"/>
      <color rgb="FF000000"/>
    </font>
    <font>
      <b/>
      <color theme="1"/>
      <name val="Arial"/>
      <scheme val="minor"/>
    </font>
    <font>
      <b/>
      <color theme="1"/>
      <name val="Arial"/>
    </font>
    <font>
      <color theme="1"/>
      <name val="Arial"/>
      <scheme val="minor"/>
    </font>
    <font>
      <sz val="9.0"/>
      <color theme="1"/>
      <name val="Arial"/>
    </font>
    <font>
      <sz val="8.0"/>
      <color rgb="FF000000"/>
      <name val="Arial"/>
      <scheme val="minor"/>
    </font>
    <font>
      <sz val="8.0"/>
      <color theme="1"/>
      <name val="Arial"/>
      <scheme val="minor"/>
    </font>
    <font>
      <color theme="1"/>
      <name val="Arial"/>
    </font>
    <font>
      <b/>
      <sz val="9.0"/>
      <color rgb="FF0A0A0A"/>
      <name val="Arial"/>
    </font>
    <font>
      <b/>
      <sz val="9.0"/>
      <color rgb="FF0A0A0A"/>
      <name val="Arial"/>
      <scheme val="minor"/>
    </font>
    <font>
      <sz val="11.0"/>
      <color rgb="FF000000"/>
      <name val="Calibri"/>
    </font>
    <font>
      <i/>
      <sz val="11.0"/>
      <color rgb="FF000000"/>
      <name val="Calibri"/>
    </font>
    <font/>
  </fonts>
  <fills count="7">
    <fill>
      <patternFill patternType="none"/>
    </fill>
    <fill>
      <patternFill patternType="lightGray"/>
    </fill>
    <fill>
      <patternFill patternType="solid">
        <fgColor rgb="FF93C47D"/>
        <bgColor rgb="FF93C47D"/>
      </patternFill>
    </fill>
    <fill>
      <patternFill patternType="solid">
        <fgColor rgb="FFD9D2E9"/>
        <bgColor rgb="FFD9D2E9"/>
      </patternFill>
    </fill>
    <fill>
      <patternFill patternType="solid">
        <fgColor rgb="FFD9EAD3"/>
        <bgColor rgb="FFD9EAD3"/>
      </patternFill>
    </fill>
    <fill>
      <patternFill patternType="solid">
        <fgColor theme="6"/>
        <bgColor theme="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1" numFmtId="0" xfId="0" applyAlignment="1" applyFill="1" applyFont="1">
      <alignment horizontal="center" readingOrder="0"/>
    </xf>
    <xf borderId="0" fillId="0" fontId="2" numFmtId="0" xfId="0" applyAlignment="1" applyFont="1">
      <alignment readingOrder="0"/>
    </xf>
    <xf borderId="0" fillId="2" fontId="2" numFmtId="0" xfId="0" applyAlignment="1" applyFont="1">
      <alignment readingOrder="0"/>
    </xf>
    <xf borderId="0" fillId="0" fontId="3" numFmtId="0" xfId="0" applyAlignment="1" applyFont="1">
      <alignment readingOrder="0"/>
    </xf>
    <xf borderId="0" fillId="0" fontId="4" numFmtId="0" xfId="0" applyFont="1"/>
    <xf borderId="0" fillId="0" fontId="0"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1" numFmtId="164" xfId="0" applyAlignment="1" applyFont="1" applyNumberFormat="1">
      <alignment horizontal="center" readingOrder="0"/>
    </xf>
    <xf borderId="0" fillId="3" fontId="9" numFmtId="0" xfId="0" applyAlignment="1" applyFill="1" applyFont="1">
      <alignment readingOrder="0" shrinkToFit="0" wrapText="1"/>
    </xf>
    <xf borderId="0" fillId="3" fontId="10" numFmtId="10" xfId="0" applyAlignment="1" applyFont="1" applyNumberFormat="1">
      <alignment horizontal="center" readingOrder="0" shrinkToFit="0" vertical="top" wrapText="1"/>
    </xf>
    <xf borderId="0" fillId="4" fontId="10" numFmtId="0" xfId="0" applyAlignment="1" applyFill="1" applyFont="1">
      <alignment horizontal="center" readingOrder="0" shrinkToFit="0" vertical="top" wrapText="1"/>
    </xf>
    <xf borderId="0" fillId="0" fontId="2" numFmtId="164" xfId="0" applyAlignment="1" applyFont="1" applyNumberFormat="1">
      <alignment readingOrder="0"/>
    </xf>
    <xf borderId="0" fillId="3" fontId="11" numFmtId="10" xfId="0" applyFont="1" applyNumberFormat="1"/>
    <xf borderId="0" fillId="4" fontId="11" numFmtId="10" xfId="0" applyFont="1" applyNumberFormat="1"/>
    <xf borderId="0" fillId="0" fontId="11" numFmtId="10" xfId="0" applyFont="1" applyNumberFormat="1"/>
    <xf borderId="0" fillId="0" fontId="3" numFmtId="164" xfId="0" applyAlignment="1" applyFont="1" applyNumberFormat="1">
      <alignment readingOrder="0"/>
    </xf>
    <xf borderId="0" fillId="0" fontId="5" numFmtId="164" xfId="0" applyAlignment="1" applyFont="1" applyNumberFormat="1">
      <alignment readingOrder="0"/>
    </xf>
    <xf borderId="0" fillId="0" fontId="11" numFmtId="164" xfId="0" applyFont="1" applyNumberFormat="1"/>
    <xf borderId="0" fillId="0" fontId="9" numFmtId="0" xfId="0" applyAlignment="1" applyFont="1">
      <alignment horizontal="center" readingOrder="0"/>
    </xf>
    <xf borderId="1" fillId="0" fontId="11" numFmtId="0" xfId="0" applyBorder="1" applyFont="1"/>
    <xf borderId="1" fillId="0" fontId="9" numFmtId="0" xfId="0" applyAlignment="1" applyBorder="1" applyFont="1">
      <alignment horizontal="center" readingOrder="0"/>
    </xf>
    <xf borderId="1" fillId="0" fontId="11" numFmtId="0" xfId="0" applyAlignment="1" applyBorder="1" applyFont="1">
      <alignment readingOrder="0"/>
    </xf>
    <xf borderId="1" fillId="0" fontId="11" numFmtId="10" xfId="0" applyBorder="1" applyFont="1" applyNumberFormat="1"/>
    <xf borderId="1" fillId="0" fontId="12" numFmtId="0" xfId="0" applyAlignment="1" applyBorder="1" applyFont="1">
      <alignment vertical="bottom"/>
    </xf>
    <xf borderId="2" fillId="0" fontId="11" numFmtId="0" xfId="0" applyAlignment="1" applyBorder="1" applyFont="1">
      <alignment readingOrder="0"/>
    </xf>
    <xf borderId="2" fillId="0" fontId="11" numFmtId="10" xfId="0" applyBorder="1" applyFont="1" applyNumberFormat="1"/>
    <xf borderId="0" fillId="0" fontId="11" numFmtId="0" xfId="0" applyAlignment="1" applyFont="1">
      <alignment readingOrder="0"/>
    </xf>
    <xf borderId="1" fillId="0" fontId="11" numFmtId="4" xfId="0" applyBorder="1" applyFont="1" applyNumberFormat="1"/>
    <xf borderId="0" fillId="5" fontId="13" numFmtId="0" xfId="0" applyAlignment="1" applyFill="1" applyFont="1">
      <alignment readingOrder="0" shrinkToFit="0" wrapText="1"/>
    </xf>
    <xf borderId="0" fillId="0" fontId="14" numFmtId="0" xfId="0" applyAlignment="1" applyFont="1">
      <alignment horizontal="center" readingOrder="0" shrinkToFit="0" vertical="center" wrapText="1"/>
    </xf>
    <xf borderId="0" fillId="0" fontId="11" numFmtId="0" xfId="0" applyAlignment="1" applyFont="1">
      <alignment readingOrder="0" vertical="center"/>
    </xf>
    <xf borderId="0" fillId="0" fontId="11" numFmtId="165" xfId="0" applyAlignment="1" applyFont="1" applyNumberFormat="1">
      <alignment vertical="center"/>
    </xf>
    <xf borderId="0" fillId="0" fontId="11" numFmtId="10" xfId="0" applyAlignment="1" applyFont="1" applyNumberFormat="1">
      <alignment readingOrder="0" vertical="center"/>
    </xf>
    <xf borderId="0" fillId="0" fontId="2" numFmtId="0" xfId="0" applyAlignment="1" applyFont="1">
      <alignment shrinkToFit="0" wrapText="1"/>
    </xf>
    <xf borderId="1" fillId="6" fontId="11" numFmtId="0" xfId="0" applyAlignment="1" applyBorder="1" applyFill="1" applyFont="1">
      <alignment readingOrder="0"/>
    </xf>
    <xf borderId="0" fillId="0" fontId="2" numFmtId="0" xfId="0" applyAlignment="1" applyFont="1">
      <alignment readingOrder="0" shrinkToFit="0" wrapText="1"/>
    </xf>
    <xf borderId="0" fillId="6" fontId="15" numFmtId="0" xfId="0" applyAlignment="1" applyFont="1">
      <alignment vertical="bottom"/>
    </xf>
    <xf borderId="1" fillId="6" fontId="15" numFmtId="0" xfId="0" applyAlignment="1" applyBorder="1" applyFont="1">
      <alignment vertical="bottom"/>
    </xf>
    <xf borderId="1" fillId="6" fontId="15" numFmtId="0" xfId="0" applyAlignment="1" applyBorder="1" applyFont="1">
      <alignment readingOrder="0" vertical="bottom"/>
    </xf>
    <xf borderId="1" fillId="0" fontId="11" numFmtId="165" xfId="0" applyAlignment="1" applyBorder="1" applyFont="1" applyNumberFormat="1">
      <alignment readingOrder="0"/>
    </xf>
    <xf borderId="0" fillId="6" fontId="16" numFmtId="0" xfId="0" applyAlignment="1" applyFont="1">
      <alignment horizontal="center" shrinkToFit="0" vertical="bottom" wrapText="1"/>
    </xf>
    <xf borderId="0" fillId="5" fontId="17" numFmtId="0" xfId="0" applyAlignment="1" applyFont="1">
      <alignment horizontal="center" readingOrder="0" shrinkToFit="0" wrapText="1"/>
    </xf>
    <xf borderId="1" fillId="0" fontId="11" numFmtId="166" xfId="0" applyBorder="1" applyFont="1" applyNumberFormat="1"/>
    <xf borderId="0" fillId="5" fontId="11" numFmtId="0" xfId="0" applyAlignment="1" applyFont="1">
      <alignment readingOrder="0" shrinkToFit="0" wrapText="1"/>
    </xf>
    <xf borderId="0" fillId="0" fontId="11" numFmtId="167" xfId="0" applyAlignment="1" applyFont="1" applyNumberFormat="1">
      <alignment vertical="center"/>
    </xf>
    <xf borderId="0" fillId="0" fontId="11" numFmtId="10" xfId="0" applyAlignment="1" applyFont="1" applyNumberFormat="1">
      <alignment vertical="center"/>
    </xf>
    <xf borderId="0" fillId="5" fontId="11" numFmtId="0" xfId="0" applyAlignment="1" applyFont="1">
      <alignment readingOrder="0" shrinkToFit="0" vertical="center" wrapText="1"/>
    </xf>
    <xf borderId="0" fillId="0" fontId="11" numFmtId="0" xfId="0" applyFont="1"/>
    <xf borderId="0" fillId="0" fontId="11" numFmtId="167" xfId="0" applyFont="1" applyNumberFormat="1"/>
    <xf borderId="0" fillId="6" fontId="17" numFmtId="0" xfId="0" applyAlignment="1" applyFont="1">
      <alignment horizontal="center" readingOrder="0" shrinkToFit="0" wrapText="1"/>
    </xf>
    <xf borderId="0" fillId="0" fontId="11" numFmtId="168" xfId="0" applyFont="1" applyNumberFormat="1"/>
    <xf borderId="0" fillId="0" fontId="11" numFmtId="0" xfId="0" applyAlignment="1" applyFont="1">
      <alignment readingOrder="0" shrinkToFit="0" wrapText="1"/>
    </xf>
    <xf borderId="0" fillId="3" fontId="15" numFmtId="0" xfId="0" applyAlignment="1" applyFont="1">
      <alignment readingOrder="0" vertical="bottom"/>
    </xf>
    <xf borderId="0" fillId="0" fontId="15" numFmtId="0" xfId="0" applyAlignment="1" applyFont="1">
      <alignment readingOrder="0" vertical="bottom"/>
    </xf>
    <xf borderId="0" fillId="0" fontId="15" numFmtId="0" xfId="0" applyAlignment="1" applyFont="1">
      <alignment vertical="bottom"/>
    </xf>
    <xf borderId="0" fillId="3" fontId="15" numFmtId="0" xfId="0" applyAlignment="1" applyFont="1">
      <alignment shrinkToFit="0" vertical="bottom" wrapText="1"/>
    </xf>
    <xf borderId="0" fillId="3" fontId="11" numFmtId="0" xfId="0" applyAlignment="1" applyFont="1">
      <alignment horizontal="center" readingOrder="0" vertical="center"/>
    </xf>
    <xf borderId="0" fillId="3" fontId="11" numFmtId="0" xfId="0" applyAlignment="1" applyFont="1">
      <alignment readingOrder="0" vertical="center"/>
    </xf>
    <xf borderId="0" fillId="0" fontId="11" numFmtId="0" xfId="0" applyAlignment="1" applyFont="1">
      <alignment readingOrder="0" shrinkToFit="0" vertical="top" wrapText="1"/>
    </xf>
    <xf borderId="0" fillId="0" fontId="18" numFmtId="0" xfId="0" applyAlignment="1" applyFont="1">
      <alignment readingOrder="0" shrinkToFit="0" vertical="bottom" wrapText="0"/>
    </xf>
    <xf borderId="0" fillId="0" fontId="18" numFmtId="0" xfId="0" applyAlignment="1" applyFont="1">
      <alignment shrinkToFit="0" vertical="bottom" wrapText="0"/>
    </xf>
    <xf borderId="3" fillId="0" fontId="19" numFmtId="0" xfId="0" applyAlignment="1" applyBorder="1" applyFont="1">
      <alignment horizontal="center" readingOrder="0" shrinkToFit="0" vertical="bottom" wrapText="0"/>
    </xf>
    <xf borderId="3" fillId="0" fontId="20" numFmtId="0" xfId="0" applyBorder="1" applyFont="1"/>
    <xf borderId="0" fillId="0" fontId="18" numFmtId="0" xfId="0" applyAlignment="1" applyFont="1">
      <alignment horizontal="right" readingOrder="0" shrinkToFit="0" vertical="bottom" wrapText="0"/>
    </xf>
    <xf borderId="4" fillId="0" fontId="18" numFmtId="0" xfId="0" applyAlignment="1" applyBorder="1" applyFont="1">
      <alignment readingOrder="0" shrinkToFit="0" vertical="bottom" wrapText="0"/>
    </xf>
    <xf borderId="4" fillId="0" fontId="18" numFmtId="0" xfId="0" applyAlignment="1" applyBorder="1" applyFont="1">
      <alignment horizontal="right" readingOrder="0" shrinkToFit="0" vertical="bottom" wrapText="0"/>
    </xf>
    <xf borderId="3" fillId="0" fontId="19" numFmtId="0" xfId="0" applyAlignment="1" applyBorder="1" applyFont="1">
      <alignment horizontal="center" shrinkToFit="0" vertical="bottom" wrapText="0"/>
    </xf>
    <xf borderId="4" fillId="0" fontId="18"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AAPL относительно параметра "MSFT"</a:t>
            </a:r>
          </a:p>
        </c:rich>
      </c:tx>
      <c:overlay val="0"/>
    </c:title>
    <c:plotArea>
      <c:layout/>
      <c:scatterChart>
        <c:scatterStyle val="lineMarker"/>
        <c:varyColors val="0"/>
        <c:ser>
          <c:idx val="0"/>
          <c:order val="0"/>
          <c:tx>
            <c:strRef>
              <c:f>'Cov &amp; Correlation'!$C$1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'Cov &amp; Correlation'!$B$2:$B$54</c:f>
            </c:numRef>
          </c:xVal>
          <c:yVal>
            <c:numRef>
              <c:f>'Cov &amp; Correlation'!$C$2:$C$54</c:f>
              <c:numCache/>
            </c:numRef>
          </c:yVal>
        </c:ser>
        <c:dLbls>
          <c:showLegendKey val="0"/>
          <c:showVal val="0"/>
          <c:showCatName val="0"/>
          <c:showSerName val="0"/>
          <c:showPercent val="0"/>
          <c:showBubbleSize val="0"/>
        </c:dLbls>
        <c:axId val="551570247"/>
        <c:axId val="1499151478"/>
      </c:scatterChart>
      <c:valAx>
        <c:axId val="5515702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MSFT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9151478"/>
      </c:valAx>
      <c:valAx>
        <c:axId val="14991514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AAPL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1570247"/>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6</xdr:row>
      <xdr:rowOff>142875</xdr:rowOff>
    </xdr:from>
    <xdr:ext cx="4838700" cy="2990850"/>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ool.com/vip/investor-alert/reports/msft-investment-report-202509?utm_source=yahoo_report&amp;utm_medium=affiliate&amp;utm_campaign=Foolcom_Yahoo_Reports&amp;utm_content=Is%2BMSFT%2Ba%2Blong-term%2Bbuy%253F&amp;utm_term=MSFT&amp;source=isaedirep0000001?partner=yahoo&amp;utm_source=yahoo" TargetMode="External"/><Relationship Id="rId2" Type="http://schemas.openxmlformats.org/officeDocument/2006/relationships/hyperlink" Target="https://stockstory.org/us/stocks/nasdaq/aapl?partner=yahoo&amp;utm_source=yahoo&amp;utm_medium=financequotetopnavigation&amp;utm_campaign=quoteinvestabledestktop"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4.75"/>
    <col customWidth="1" min="15" max="15" width="14.75"/>
    <col customWidth="1" min="24" max="24" width="16.0"/>
  </cols>
  <sheetData>
    <row r="1">
      <c r="A1" s="1" t="s">
        <v>0</v>
      </c>
      <c r="B1" s="1" t="s">
        <v>1</v>
      </c>
      <c r="C1" s="1" t="s">
        <v>2</v>
      </c>
      <c r="D1" s="1" t="s">
        <v>3</v>
      </c>
      <c r="E1" s="1" t="s">
        <v>4</v>
      </c>
      <c r="F1" s="2" t="s">
        <v>5</v>
      </c>
      <c r="G1" s="1" t="s">
        <v>6</v>
      </c>
      <c r="J1" s="1" t="s">
        <v>0</v>
      </c>
      <c r="K1" s="1" t="s">
        <v>1</v>
      </c>
      <c r="L1" s="1" t="s">
        <v>2</v>
      </c>
      <c r="M1" s="1" t="s">
        <v>3</v>
      </c>
      <c r="N1" s="1" t="s">
        <v>4</v>
      </c>
      <c r="O1" s="2" t="s">
        <v>7</v>
      </c>
      <c r="P1" s="1" t="s">
        <v>6</v>
      </c>
      <c r="S1" s="1" t="s">
        <v>0</v>
      </c>
      <c r="T1" s="1" t="s">
        <v>1</v>
      </c>
      <c r="U1" s="1" t="s">
        <v>2</v>
      </c>
      <c r="V1" s="1" t="s">
        <v>3</v>
      </c>
      <c r="W1" s="1" t="s">
        <v>4</v>
      </c>
      <c r="X1" s="2" t="s">
        <v>8</v>
      </c>
      <c r="Y1" s="1" t="s">
        <v>6</v>
      </c>
    </row>
    <row r="2">
      <c r="A2" s="3" t="s">
        <v>9</v>
      </c>
      <c r="B2" s="3" t="s">
        <v>10</v>
      </c>
      <c r="C2" s="3" t="s">
        <v>11</v>
      </c>
      <c r="D2" s="3" t="s">
        <v>12</v>
      </c>
      <c r="E2" s="3" t="s">
        <v>13</v>
      </c>
      <c r="F2" s="4" t="s">
        <v>13</v>
      </c>
      <c r="G2" s="3" t="s">
        <v>14</v>
      </c>
      <c r="J2" s="3" t="s">
        <v>9</v>
      </c>
      <c r="K2" s="3" t="s">
        <v>15</v>
      </c>
      <c r="L2" s="3" t="s">
        <v>16</v>
      </c>
      <c r="M2" s="3" t="s">
        <v>17</v>
      </c>
      <c r="N2" s="3" t="s">
        <v>18</v>
      </c>
      <c r="O2" s="4" t="s">
        <v>18</v>
      </c>
      <c r="P2" s="3" t="s">
        <v>19</v>
      </c>
      <c r="S2" s="3" t="s">
        <v>9</v>
      </c>
      <c r="T2" s="3" t="s">
        <v>20</v>
      </c>
      <c r="U2" s="3" t="s">
        <v>21</v>
      </c>
      <c r="V2" s="3" t="s">
        <v>22</v>
      </c>
      <c r="W2" s="3" t="s">
        <v>23</v>
      </c>
      <c r="X2" s="4" t="s">
        <v>23</v>
      </c>
      <c r="Y2" s="3" t="s">
        <v>24</v>
      </c>
    </row>
    <row r="3">
      <c r="A3" s="3" t="s">
        <v>25</v>
      </c>
      <c r="B3" s="3" t="s">
        <v>26</v>
      </c>
      <c r="C3" s="3" t="s">
        <v>27</v>
      </c>
      <c r="D3" s="3" t="s">
        <v>28</v>
      </c>
      <c r="E3" s="3" t="s">
        <v>29</v>
      </c>
      <c r="F3" s="4" t="s">
        <v>29</v>
      </c>
      <c r="G3" s="3" t="s">
        <v>30</v>
      </c>
      <c r="J3" s="3" t="s">
        <v>25</v>
      </c>
      <c r="K3" s="3" t="s">
        <v>31</v>
      </c>
      <c r="L3" s="3" t="s">
        <v>32</v>
      </c>
      <c r="M3" s="3" t="s">
        <v>33</v>
      </c>
      <c r="N3" s="3" t="s">
        <v>34</v>
      </c>
      <c r="O3" s="4" t="s">
        <v>34</v>
      </c>
      <c r="P3" s="3" t="s">
        <v>35</v>
      </c>
      <c r="S3" s="3" t="s">
        <v>25</v>
      </c>
      <c r="T3" s="3" t="s">
        <v>36</v>
      </c>
      <c r="U3" s="3" t="s">
        <v>37</v>
      </c>
      <c r="V3" s="3" t="s">
        <v>38</v>
      </c>
      <c r="W3" s="3" t="s">
        <v>39</v>
      </c>
      <c r="X3" s="4" t="s">
        <v>39</v>
      </c>
      <c r="Y3" s="3" t="s">
        <v>40</v>
      </c>
    </row>
    <row r="4">
      <c r="A4" s="3" t="s">
        <v>41</v>
      </c>
      <c r="B4" s="3" t="s">
        <v>42</v>
      </c>
      <c r="C4" s="3" t="s">
        <v>43</v>
      </c>
      <c r="D4" s="3" t="s">
        <v>44</v>
      </c>
      <c r="E4" s="3" t="s">
        <v>45</v>
      </c>
      <c r="F4" s="4" t="s">
        <v>45</v>
      </c>
      <c r="G4" s="3" t="s">
        <v>46</v>
      </c>
      <c r="J4" s="3" t="s">
        <v>41</v>
      </c>
      <c r="K4" s="3" t="s">
        <v>47</v>
      </c>
      <c r="L4" s="3" t="s">
        <v>48</v>
      </c>
      <c r="M4" s="3" t="s">
        <v>49</v>
      </c>
      <c r="N4" s="3" t="s">
        <v>50</v>
      </c>
      <c r="O4" s="4" t="s">
        <v>50</v>
      </c>
      <c r="P4" s="3" t="s">
        <v>51</v>
      </c>
      <c r="S4" s="3" t="s">
        <v>41</v>
      </c>
      <c r="T4" s="3" t="s">
        <v>52</v>
      </c>
      <c r="U4" s="3" t="s">
        <v>53</v>
      </c>
      <c r="V4" s="3" t="s">
        <v>54</v>
      </c>
      <c r="W4" s="3" t="s">
        <v>55</v>
      </c>
      <c r="X4" s="4" t="s">
        <v>55</v>
      </c>
      <c r="Y4" s="3" t="s">
        <v>56</v>
      </c>
    </row>
    <row r="5">
      <c r="A5" s="3" t="s">
        <v>57</v>
      </c>
      <c r="B5" s="3" t="s">
        <v>58</v>
      </c>
      <c r="C5" s="3" t="s">
        <v>59</v>
      </c>
      <c r="D5" s="3" t="s">
        <v>60</v>
      </c>
      <c r="E5" s="3" t="s">
        <v>61</v>
      </c>
      <c r="F5" s="4" t="s">
        <v>62</v>
      </c>
      <c r="G5" s="3" t="s">
        <v>63</v>
      </c>
      <c r="J5" s="3" t="s">
        <v>57</v>
      </c>
      <c r="K5" s="3" t="s">
        <v>64</v>
      </c>
      <c r="L5" s="3" t="s">
        <v>65</v>
      </c>
      <c r="M5" s="3" t="s">
        <v>66</v>
      </c>
      <c r="N5" s="3" t="s">
        <v>67</v>
      </c>
      <c r="O5" s="4" t="s">
        <v>67</v>
      </c>
      <c r="P5" s="3" t="s">
        <v>68</v>
      </c>
      <c r="S5" s="3" t="s">
        <v>57</v>
      </c>
      <c r="T5" s="3" t="s">
        <v>69</v>
      </c>
      <c r="U5" s="3" t="s">
        <v>70</v>
      </c>
      <c r="V5" s="3" t="s">
        <v>71</v>
      </c>
      <c r="W5" s="3" t="s">
        <v>72</v>
      </c>
      <c r="X5" s="4" t="s">
        <v>72</v>
      </c>
      <c r="Y5" s="3" t="s">
        <v>73</v>
      </c>
    </row>
    <row r="6">
      <c r="A6" s="3" t="s">
        <v>74</v>
      </c>
      <c r="B6" s="3" t="s">
        <v>75</v>
      </c>
      <c r="C6" s="3" t="s">
        <v>76</v>
      </c>
      <c r="D6" s="3" t="s">
        <v>77</v>
      </c>
      <c r="E6" s="3" t="s">
        <v>78</v>
      </c>
      <c r="F6" s="4" t="s">
        <v>79</v>
      </c>
      <c r="G6" s="3" t="s">
        <v>80</v>
      </c>
      <c r="J6" s="3" t="s">
        <v>74</v>
      </c>
      <c r="K6" s="3" t="s">
        <v>81</v>
      </c>
      <c r="L6" s="3" t="s">
        <v>82</v>
      </c>
      <c r="M6" s="3" t="s">
        <v>83</v>
      </c>
      <c r="N6" s="3" t="s">
        <v>84</v>
      </c>
      <c r="O6" s="4" t="s">
        <v>66</v>
      </c>
      <c r="P6" s="3" t="s">
        <v>85</v>
      </c>
      <c r="S6" s="3" t="s">
        <v>74</v>
      </c>
      <c r="T6" s="3" t="s">
        <v>86</v>
      </c>
      <c r="U6" s="3" t="s">
        <v>87</v>
      </c>
      <c r="V6" s="3" t="s">
        <v>88</v>
      </c>
      <c r="W6" s="3" t="s">
        <v>89</v>
      </c>
      <c r="X6" s="4" t="s">
        <v>89</v>
      </c>
      <c r="Y6" s="3" t="s">
        <v>90</v>
      </c>
    </row>
    <row r="7">
      <c r="A7" s="3" t="s">
        <v>91</v>
      </c>
      <c r="B7" s="3" t="s">
        <v>92</v>
      </c>
      <c r="C7" s="3" t="s">
        <v>93</v>
      </c>
      <c r="D7" s="3" t="s">
        <v>94</v>
      </c>
      <c r="E7" s="3" t="s">
        <v>95</v>
      </c>
      <c r="F7" s="4" t="s">
        <v>96</v>
      </c>
      <c r="G7" s="3" t="s">
        <v>97</v>
      </c>
      <c r="J7" s="3" t="s">
        <v>91</v>
      </c>
      <c r="K7" s="3" t="s">
        <v>98</v>
      </c>
      <c r="L7" s="3" t="s">
        <v>99</v>
      </c>
      <c r="M7" s="3" t="s">
        <v>100</v>
      </c>
      <c r="N7" s="3" t="s">
        <v>101</v>
      </c>
      <c r="O7" s="4" t="s">
        <v>102</v>
      </c>
      <c r="P7" s="3" t="s">
        <v>103</v>
      </c>
      <c r="S7" s="3" t="s">
        <v>91</v>
      </c>
      <c r="T7" s="3" t="s">
        <v>104</v>
      </c>
      <c r="U7" s="3" t="s">
        <v>105</v>
      </c>
      <c r="V7" s="3" t="s">
        <v>106</v>
      </c>
      <c r="W7" s="3" t="s">
        <v>107</v>
      </c>
      <c r="X7" s="4" t="s">
        <v>107</v>
      </c>
      <c r="Y7" s="3" t="s">
        <v>108</v>
      </c>
    </row>
    <row r="8">
      <c r="A8" s="3" t="s">
        <v>109</v>
      </c>
      <c r="B8" s="3" t="s">
        <v>110</v>
      </c>
      <c r="C8" s="3" t="s">
        <v>111</v>
      </c>
      <c r="D8" s="3" t="s">
        <v>112</v>
      </c>
      <c r="E8" s="3" t="s">
        <v>113</v>
      </c>
      <c r="F8" s="4" t="s">
        <v>114</v>
      </c>
      <c r="G8" s="3" t="s">
        <v>115</v>
      </c>
      <c r="J8" s="3" t="s">
        <v>109</v>
      </c>
      <c r="K8" s="3" t="s">
        <v>116</v>
      </c>
      <c r="L8" s="3" t="s">
        <v>117</v>
      </c>
      <c r="M8" s="3" t="s">
        <v>118</v>
      </c>
      <c r="N8" s="3" t="s">
        <v>119</v>
      </c>
      <c r="O8" s="4" t="s">
        <v>120</v>
      </c>
      <c r="P8" s="3" t="s">
        <v>121</v>
      </c>
      <c r="S8" s="3" t="s">
        <v>109</v>
      </c>
      <c r="T8" s="3" t="s">
        <v>122</v>
      </c>
      <c r="U8" s="3" t="s">
        <v>123</v>
      </c>
      <c r="V8" s="3" t="s">
        <v>124</v>
      </c>
      <c r="W8" s="3" t="s">
        <v>125</v>
      </c>
      <c r="X8" s="4" t="s">
        <v>125</v>
      </c>
      <c r="Y8" s="3" t="s">
        <v>126</v>
      </c>
    </row>
    <row r="9">
      <c r="A9" s="3" t="s">
        <v>127</v>
      </c>
      <c r="B9" s="3" t="s">
        <v>128</v>
      </c>
      <c r="C9" s="3" t="s">
        <v>129</v>
      </c>
      <c r="D9" s="3" t="s">
        <v>130</v>
      </c>
      <c r="E9" s="3" t="s">
        <v>131</v>
      </c>
      <c r="F9" s="4" t="s">
        <v>132</v>
      </c>
      <c r="G9" s="3" t="s">
        <v>133</v>
      </c>
      <c r="J9" s="3" t="s">
        <v>127</v>
      </c>
      <c r="K9" s="3" t="s">
        <v>134</v>
      </c>
      <c r="L9" s="3" t="s">
        <v>135</v>
      </c>
      <c r="M9" s="3" t="s">
        <v>136</v>
      </c>
      <c r="N9" s="3" t="s">
        <v>137</v>
      </c>
      <c r="O9" s="4" t="s">
        <v>138</v>
      </c>
      <c r="P9" s="3" t="s">
        <v>139</v>
      </c>
      <c r="S9" s="3" t="s">
        <v>127</v>
      </c>
      <c r="T9" s="3" t="s">
        <v>140</v>
      </c>
      <c r="U9" s="3" t="s">
        <v>141</v>
      </c>
      <c r="V9" s="3" t="s">
        <v>142</v>
      </c>
      <c r="W9" s="3" t="s">
        <v>143</v>
      </c>
      <c r="X9" s="4" t="s">
        <v>143</v>
      </c>
      <c r="Y9" s="3" t="s">
        <v>144</v>
      </c>
    </row>
    <row r="10">
      <c r="A10" s="3" t="s">
        <v>145</v>
      </c>
      <c r="B10" s="3" t="s">
        <v>146</v>
      </c>
      <c r="C10" s="3" t="s">
        <v>147</v>
      </c>
      <c r="D10" s="3" t="s">
        <v>148</v>
      </c>
      <c r="E10" s="3" t="s">
        <v>149</v>
      </c>
      <c r="F10" s="4" t="s">
        <v>150</v>
      </c>
      <c r="G10" s="3" t="s">
        <v>151</v>
      </c>
      <c r="J10" s="3" t="s">
        <v>145</v>
      </c>
      <c r="K10" s="3" t="s">
        <v>152</v>
      </c>
      <c r="L10" s="3" t="s">
        <v>153</v>
      </c>
      <c r="M10" s="3" t="s">
        <v>154</v>
      </c>
      <c r="N10" s="3" t="s">
        <v>155</v>
      </c>
      <c r="O10" s="4" t="s">
        <v>156</v>
      </c>
      <c r="P10" s="3" t="s">
        <v>157</v>
      </c>
      <c r="S10" s="3" t="s">
        <v>145</v>
      </c>
      <c r="T10" s="3" t="s">
        <v>158</v>
      </c>
      <c r="U10" s="3" t="s">
        <v>159</v>
      </c>
      <c r="V10" s="3" t="s">
        <v>160</v>
      </c>
      <c r="W10" s="3" t="s">
        <v>161</v>
      </c>
      <c r="X10" s="4" t="s">
        <v>161</v>
      </c>
      <c r="Y10" s="3" t="s">
        <v>162</v>
      </c>
    </row>
    <row r="11">
      <c r="A11" s="3" t="s">
        <v>163</v>
      </c>
      <c r="B11" s="3" t="s">
        <v>164</v>
      </c>
      <c r="C11" s="3" t="s">
        <v>165</v>
      </c>
      <c r="D11" s="3" t="s">
        <v>166</v>
      </c>
      <c r="E11" s="3" t="s">
        <v>167</v>
      </c>
      <c r="F11" s="4" t="s">
        <v>168</v>
      </c>
      <c r="G11" s="3" t="s">
        <v>169</v>
      </c>
      <c r="J11" s="3" t="s">
        <v>163</v>
      </c>
      <c r="K11" s="3" t="s">
        <v>170</v>
      </c>
      <c r="L11" s="3" t="s">
        <v>171</v>
      </c>
      <c r="M11" s="3" t="s">
        <v>172</v>
      </c>
      <c r="N11" s="3" t="s">
        <v>173</v>
      </c>
      <c r="O11" s="4" t="s">
        <v>174</v>
      </c>
      <c r="P11" s="3" t="s">
        <v>175</v>
      </c>
      <c r="S11" s="3" t="s">
        <v>163</v>
      </c>
      <c r="T11" s="3" t="s">
        <v>176</v>
      </c>
      <c r="U11" s="3" t="s">
        <v>177</v>
      </c>
      <c r="V11" s="3" t="s">
        <v>178</v>
      </c>
      <c r="W11" s="3" t="s">
        <v>179</v>
      </c>
      <c r="X11" s="4" t="s">
        <v>179</v>
      </c>
      <c r="Y11" s="3" t="s">
        <v>180</v>
      </c>
    </row>
    <row r="12">
      <c r="A12" s="3" t="s">
        <v>181</v>
      </c>
      <c r="B12" s="3" t="s">
        <v>182</v>
      </c>
      <c r="C12" s="3" t="s">
        <v>183</v>
      </c>
      <c r="D12" s="3" t="s">
        <v>184</v>
      </c>
      <c r="E12" s="3" t="s">
        <v>185</v>
      </c>
      <c r="F12" s="4" t="s">
        <v>186</v>
      </c>
      <c r="G12" s="3" t="s">
        <v>187</v>
      </c>
      <c r="J12" s="3" t="s">
        <v>181</v>
      </c>
      <c r="K12" s="3" t="s">
        <v>188</v>
      </c>
      <c r="L12" s="3" t="s">
        <v>189</v>
      </c>
      <c r="M12" s="3" t="s">
        <v>190</v>
      </c>
      <c r="N12" s="3" t="s">
        <v>191</v>
      </c>
      <c r="O12" s="4" t="s">
        <v>192</v>
      </c>
      <c r="P12" s="3" t="s">
        <v>193</v>
      </c>
      <c r="S12" s="3" t="s">
        <v>181</v>
      </c>
      <c r="T12" s="3" t="s">
        <v>194</v>
      </c>
      <c r="U12" s="3" t="s">
        <v>195</v>
      </c>
      <c r="V12" s="3" t="s">
        <v>196</v>
      </c>
      <c r="W12" s="3" t="s">
        <v>197</v>
      </c>
      <c r="X12" s="4" t="s">
        <v>197</v>
      </c>
      <c r="Y12" s="3" t="s">
        <v>198</v>
      </c>
    </row>
    <row r="13">
      <c r="A13" s="3" t="s">
        <v>199</v>
      </c>
      <c r="B13" s="3" t="s">
        <v>200</v>
      </c>
      <c r="C13" s="3" t="s">
        <v>201</v>
      </c>
      <c r="D13" s="3" t="s">
        <v>202</v>
      </c>
      <c r="E13" s="3" t="s">
        <v>203</v>
      </c>
      <c r="F13" s="4" t="s">
        <v>204</v>
      </c>
      <c r="G13" s="3" t="s">
        <v>205</v>
      </c>
      <c r="J13" s="3" t="s">
        <v>199</v>
      </c>
      <c r="K13" s="3" t="s">
        <v>206</v>
      </c>
      <c r="L13" s="3" t="s">
        <v>207</v>
      </c>
      <c r="M13" s="3" t="s">
        <v>208</v>
      </c>
      <c r="N13" s="3" t="s">
        <v>209</v>
      </c>
      <c r="O13" s="4" t="s">
        <v>210</v>
      </c>
      <c r="P13" s="3" t="s">
        <v>211</v>
      </c>
      <c r="S13" s="3" t="s">
        <v>199</v>
      </c>
      <c r="T13" s="3" t="s">
        <v>212</v>
      </c>
      <c r="U13" s="3" t="s">
        <v>213</v>
      </c>
      <c r="V13" s="3" t="s">
        <v>214</v>
      </c>
      <c r="W13" s="3" t="s">
        <v>215</v>
      </c>
      <c r="X13" s="4" t="s">
        <v>215</v>
      </c>
      <c r="Y13" s="3" t="s">
        <v>216</v>
      </c>
    </row>
    <row r="14">
      <c r="A14" s="3" t="s">
        <v>217</v>
      </c>
      <c r="B14" s="3" t="s">
        <v>218</v>
      </c>
      <c r="C14" s="3" t="s">
        <v>219</v>
      </c>
      <c r="D14" s="3" t="s">
        <v>220</v>
      </c>
      <c r="E14" s="3" t="s">
        <v>221</v>
      </c>
      <c r="F14" s="4" t="s">
        <v>222</v>
      </c>
      <c r="G14" s="3" t="s">
        <v>223</v>
      </c>
      <c r="J14" s="3" t="s">
        <v>217</v>
      </c>
      <c r="K14" s="3" t="s">
        <v>224</v>
      </c>
      <c r="L14" s="3" t="s">
        <v>224</v>
      </c>
      <c r="M14" s="3" t="s">
        <v>225</v>
      </c>
      <c r="N14" s="3" t="s">
        <v>226</v>
      </c>
      <c r="O14" s="4" t="s">
        <v>227</v>
      </c>
      <c r="P14" s="3" t="s">
        <v>228</v>
      </c>
      <c r="S14" s="3" t="s">
        <v>217</v>
      </c>
      <c r="T14" s="3" t="s">
        <v>229</v>
      </c>
      <c r="U14" s="3" t="s">
        <v>230</v>
      </c>
      <c r="V14" s="3" t="s">
        <v>231</v>
      </c>
      <c r="W14" s="3" t="s">
        <v>232</v>
      </c>
      <c r="X14" s="4" t="s">
        <v>232</v>
      </c>
      <c r="Y14" s="3" t="s">
        <v>233</v>
      </c>
    </row>
    <row r="15">
      <c r="A15" s="3" t="s">
        <v>234</v>
      </c>
      <c r="B15" s="3" t="s">
        <v>235</v>
      </c>
      <c r="C15" s="3" t="s">
        <v>236</v>
      </c>
      <c r="D15" s="3" t="s">
        <v>237</v>
      </c>
      <c r="E15" s="3" t="s">
        <v>238</v>
      </c>
      <c r="F15" s="4" t="s">
        <v>239</v>
      </c>
      <c r="G15" s="3" t="s">
        <v>240</v>
      </c>
      <c r="J15" s="3" t="s">
        <v>234</v>
      </c>
      <c r="K15" s="3" t="s">
        <v>241</v>
      </c>
      <c r="L15" s="3" t="s">
        <v>242</v>
      </c>
      <c r="M15" s="3" t="s">
        <v>243</v>
      </c>
      <c r="N15" s="3" t="s">
        <v>244</v>
      </c>
      <c r="O15" s="4" t="s">
        <v>245</v>
      </c>
      <c r="P15" s="3" t="s">
        <v>246</v>
      </c>
      <c r="S15" s="3" t="s">
        <v>234</v>
      </c>
      <c r="T15" s="3" t="s">
        <v>247</v>
      </c>
      <c r="U15" s="3" t="s">
        <v>248</v>
      </c>
      <c r="V15" s="3" t="s">
        <v>249</v>
      </c>
      <c r="W15" s="3" t="s">
        <v>250</v>
      </c>
      <c r="X15" s="4" t="s">
        <v>250</v>
      </c>
      <c r="Y15" s="3" t="s">
        <v>251</v>
      </c>
    </row>
    <row r="16">
      <c r="A16" s="3" t="s">
        <v>252</v>
      </c>
      <c r="B16" s="3" t="s">
        <v>253</v>
      </c>
      <c r="C16" s="3" t="s">
        <v>254</v>
      </c>
      <c r="D16" s="3" t="s">
        <v>255</v>
      </c>
      <c r="E16" s="3" t="s">
        <v>256</v>
      </c>
      <c r="F16" s="4" t="s">
        <v>257</v>
      </c>
      <c r="G16" s="3" t="s">
        <v>258</v>
      </c>
      <c r="J16" s="3" t="s">
        <v>252</v>
      </c>
      <c r="K16" s="3" t="s">
        <v>259</v>
      </c>
      <c r="L16" s="3" t="s">
        <v>260</v>
      </c>
      <c r="M16" s="3" t="s">
        <v>261</v>
      </c>
      <c r="N16" s="3" t="s">
        <v>262</v>
      </c>
      <c r="O16" s="4" t="s">
        <v>263</v>
      </c>
      <c r="P16" s="3" t="s">
        <v>264</v>
      </c>
      <c r="S16" s="3" t="s">
        <v>252</v>
      </c>
      <c r="T16" s="3" t="s">
        <v>265</v>
      </c>
      <c r="U16" s="3" t="s">
        <v>266</v>
      </c>
      <c r="V16" s="3" t="s">
        <v>267</v>
      </c>
      <c r="W16" s="3" t="s">
        <v>268</v>
      </c>
      <c r="X16" s="4" t="s">
        <v>268</v>
      </c>
      <c r="Y16" s="3" t="s">
        <v>269</v>
      </c>
    </row>
    <row r="17">
      <c r="A17" s="3" t="s">
        <v>270</v>
      </c>
      <c r="B17" s="3" t="s">
        <v>271</v>
      </c>
      <c r="C17" s="3" t="s">
        <v>272</v>
      </c>
      <c r="D17" s="3" t="s">
        <v>132</v>
      </c>
      <c r="E17" s="3" t="s">
        <v>273</v>
      </c>
      <c r="F17" s="4" t="s">
        <v>274</v>
      </c>
      <c r="G17" s="3" t="s">
        <v>275</v>
      </c>
      <c r="J17" s="3" t="s">
        <v>270</v>
      </c>
      <c r="K17" s="3" t="s">
        <v>276</v>
      </c>
      <c r="L17" s="3" t="s">
        <v>277</v>
      </c>
      <c r="M17" s="3" t="s">
        <v>276</v>
      </c>
      <c r="N17" s="3" t="s">
        <v>278</v>
      </c>
      <c r="O17" s="4" t="s">
        <v>279</v>
      </c>
      <c r="P17" s="3" t="s">
        <v>280</v>
      </c>
      <c r="S17" s="3" t="s">
        <v>270</v>
      </c>
      <c r="T17" s="3" t="s">
        <v>281</v>
      </c>
      <c r="U17" s="3" t="s">
        <v>282</v>
      </c>
      <c r="V17" s="3" t="s">
        <v>283</v>
      </c>
      <c r="W17" s="3" t="s">
        <v>284</v>
      </c>
      <c r="X17" s="4" t="s">
        <v>284</v>
      </c>
      <c r="Y17" s="3" t="s">
        <v>285</v>
      </c>
    </row>
    <row r="18">
      <c r="A18" s="3" t="s">
        <v>286</v>
      </c>
      <c r="B18" s="3" t="s">
        <v>287</v>
      </c>
      <c r="C18" s="3" t="s">
        <v>288</v>
      </c>
      <c r="D18" s="3" t="s">
        <v>289</v>
      </c>
      <c r="E18" s="3" t="s">
        <v>290</v>
      </c>
      <c r="F18" s="4" t="s">
        <v>184</v>
      </c>
      <c r="G18" s="3" t="s">
        <v>291</v>
      </c>
      <c r="J18" s="3" t="s">
        <v>286</v>
      </c>
      <c r="K18" s="3" t="s">
        <v>292</v>
      </c>
      <c r="L18" s="3" t="s">
        <v>207</v>
      </c>
      <c r="M18" s="3" t="s">
        <v>293</v>
      </c>
      <c r="N18" s="3" t="s">
        <v>294</v>
      </c>
      <c r="O18" s="4" t="s">
        <v>295</v>
      </c>
      <c r="P18" s="3" t="s">
        <v>296</v>
      </c>
      <c r="S18" s="3" t="s">
        <v>286</v>
      </c>
      <c r="T18" s="3" t="s">
        <v>297</v>
      </c>
      <c r="U18" s="3" t="s">
        <v>298</v>
      </c>
      <c r="V18" s="3" t="s">
        <v>299</v>
      </c>
      <c r="W18" s="3" t="s">
        <v>300</v>
      </c>
      <c r="X18" s="4" t="s">
        <v>300</v>
      </c>
      <c r="Y18" s="3" t="s">
        <v>301</v>
      </c>
    </row>
    <row r="19">
      <c r="A19" s="3" t="s">
        <v>302</v>
      </c>
      <c r="B19" s="3" t="s">
        <v>303</v>
      </c>
      <c r="C19" s="3" t="s">
        <v>304</v>
      </c>
      <c r="D19" s="3" t="s">
        <v>305</v>
      </c>
      <c r="E19" s="3" t="s">
        <v>306</v>
      </c>
      <c r="F19" s="4" t="s">
        <v>307</v>
      </c>
      <c r="G19" s="3" t="s">
        <v>308</v>
      </c>
      <c r="J19" s="3" t="s">
        <v>302</v>
      </c>
      <c r="K19" s="3" t="s">
        <v>309</v>
      </c>
      <c r="L19" s="3" t="s">
        <v>310</v>
      </c>
      <c r="M19" s="3" t="s">
        <v>311</v>
      </c>
      <c r="N19" s="3" t="s">
        <v>312</v>
      </c>
      <c r="O19" s="4" t="s">
        <v>313</v>
      </c>
      <c r="P19" s="3" t="s">
        <v>314</v>
      </c>
      <c r="S19" s="3" t="s">
        <v>302</v>
      </c>
      <c r="T19" s="3" t="s">
        <v>315</v>
      </c>
      <c r="U19" s="3" t="s">
        <v>316</v>
      </c>
      <c r="V19" s="3" t="s">
        <v>317</v>
      </c>
      <c r="W19" s="3" t="s">
        <v>318</v>
      </c>
      <c r="X19" s="4" t="s">
        <v>318</v>
      </c>
      <c r="Y19" s="3" t="s">
        <v>319</v>
      </c>
    </row>
    <row r="20">
      <c r="A20" s="3" t="s">
        <v>320</v>
      </c>
      <c r="B20" s="3" t="s">
        <v>321</v>
      </c>
      <c r="C20" s="3" t="s">
        <v>322</v>
      </c>
      <c r="D20" s="3" t="s">
        <v>323</v>
      </c>
      <c r="E20" s="3" t="s">
        <v>324</v>
      </c>
      <c r="F20" s="4" t="s">
        <v>325</v>
      </c>
      <c r="G20" s="3" t="s">
        <v>326</v>
      </c>
      <c r="J20" s="3" t="s">
        <v>320</v>
      </c>
      <c r="K20" s="3" t="s">
        <v>327</v>
      </c>
      <c r="L20" s="3" t="s">
        <v>209</v>
      </c>
      <c r="M20" s="3" t="s">
        <v>328</v>
      </c>
      <c r="N20" s="3" t="s">
        <v>329</v>
      </c>
      <c r="O20" s="4" t="s">
        <v>330</v>
      </c>
      <c r="P20" s="3" t="s">
        <v>331</v>
      </c>
      <c r="S20" s="3" t="s">
        <v>320</v>
      </c>
      <c r="T20" s="3" t="s">
        <v>332</v>
      </c>
      <c r="U20" s="3" t="s">
        <v>332</v>
      </c>
      <c r="V20" s="3" t="s">
        <v>333</v>
      </c>
      <c r="W20" s="3" t="s">
        <v>334</v>
      </c>
      <c r="X20" s="4" t="s">
        <v>334</v>
      </c>
      <c r="Y20" s="3" t="s">
        <v>335</v>
      </c>
    </row>
    <row r="21">
      <c r="A21" s="3" t="s">
        <v>336</v>
      </c>
      <c r="B21" s="3" t="s">
        <v>337</v>
      </c>
      <c r="C21" s="3" t="s">
        <v>338</v>
      </c>
      <c r="D21" s="3" t="s">
        <v>339</v>
      </c>
      <c r="E21" s="3" t="s">
        <v>340</v>
      </c>
      <c r="F21" s="4" t="s">
        <v>341</v>
      </c>
      <c r="G21" s="3" t="s">
        <v>342</v>
      </c>
      <c r="J21" s="3" t="s">
        <v>336</v>
      </c>
      <c r="K21" s="3" t="s">
        <v>343</v>
      </c>
      <c r="L21" s="3" t="s">
        <v>344</v>
      </c>
      <c r="M21" s="3" t="s">
        <v>345</v>
      </c>
      <c r="N21" s="3" t="s">
        <v>346</v>
      </c>
      <c r="O21" s="4" t="s">
        <v>347</v>
      </c>
      <c r="P21" s="3" t="s">
        <v>348</v>
      </c>
      <c r="S21" s="3" t="s">
        <v>336</v>
      </c>
      <c r="T21" s="3" t="s">
        <v>349</v>
      </c>
      <c r="U21" s="3" t="s">
        <v>350</v>
      </c>
      <c r="V21" s="3" t="s">
        <v>351</v>
      </c>
      <c r="W21" s="3" t="s">
        <v>352</v>
      </c>
      <c r="X21" s="4" t="s">
        <v>352</v>
      </c>
      <c r="Y21" s="3" t="s">
        <v>353</v>
      </c>
    </row>
    <row r="22">
      <c r="A22" s="3" t="s">
        <v>354</v>
      </c>
      <c r="B22" s="3" t="s">
        <v>355</v>
      </c>
      <c r="C22" s="3" t="s">
        <v>356</v>
      </c>
      <c r="D22" s="3" t="s">
        <v>357</v>
      </c>
      <c r="E22" s="3" t="s">
        <v>358</v>
      </c>
      <c r="F22" s="4" t="s">
        <v>359</v>
      </c>
      <c r="G22" s="3" t="s">
        <v>360</v>
      </c>
      <c r="J22" s="3" t="s">
        <v>354</v>
      </c>
      <c r="K22" s="3" t="s">
        <v>361</v>
      </c>
      <c r="L22" s="3" t="s">
        <v>362</v>
      </c>
      <c r="M22" s="3" t="s">
        <v>363</v>
      </c>
      <c r="N22" s="3" t="s">
        <v>364</v>
      </c>
      <c r="O22" s="4" t="s">
        <v>365</v>
      </c>
      <c r="P22" s="3" t="s">
        <v>366</v>
      </c>
      <c r="S22" s="3" t="s">
        <v>354</v>
      </c>
      <c r="T22" s="3" t="s">
        <v>367</v>
      </c>
      <c r="U22" s="3" t="s">
        <v>368</v>
      </c>
      <c r="V22" s="3" t="s">
        <v>369</v>
      </c>
      <c r="W22" s="3" t="s">
        <v>370</v>
      </c>
      <c r="X22" s="4" t="s">
        <v>370</v>
      </c>
      <c r="Y22" s="3" t="s">
        <v>371</v>
      </c>
    </row>
    <row r="23">
      <c r="A23" s="3" t="s">
        <v>372</v>
      </c>
      <c r="B23" s="3" t="s">
        <v>373</v>
      </c>
      <c r="C23" s="3" t="s">
        <v>374</v>
      </c>
      <c r="D23" s="3" t="s">
        <v>375</v>
      </c>
      <c r="E23" s="3" t="s">
        <v>376</v>
      </c>
      <c r="F23" s="4" t="s">
        <v>377</v>
      </c>
      <c r="G23" s="3" t="s">
        <v>378</v>
      </c>
      <c r="J23" s="3" t="s">
        <v>372</v>
      </c>
      <c r="K23" s="3" t="s">
        <v>379</v>
      </c>
      <c r="L23" s="3" t="s">
        <v>380</v>
      </c>
      <c r="M23" s="3" t="s">
        <v>381</v>
      </c>
      <c r="N23" s="3" t="s">
        <v>382</v>
      </c>
      <c r="O23" s="4" t="s">
        <v>383</v>
      </c>
      <c r="P23" s="3" t="s">
        <v>384</v>
      </c>
      <c r="S23" s="3" t="s">
        <v>372</v>
      </c>
      <c r="T23" s="3" t="s">
        <v>385</v>
      </c>
      <c r="U23" s="3" t="s">
        <v>386</v>
      </c>
      <c r="V23" s="3" t="s">
        <v>387</v>
      </c>
      <c r="W23" s="3" t="s">
        <v>388</v>
      </c>
      <c r="X23" s="4" t="s">
        <v>388</v>
      </c>
      <c r="Y23" s="3" t="s">
        <v>389</v>
      </c>
    </row>
    <row r="24">
      <c r="A24" s="3" t="s">
        <v>390</v>
      </c>
      <c r="B24" s="3" t="s">
        <v>391</v>
      </c>
      <c r="C24" s="3" t="s">
        <v>392</v>
      </c>
      <c r="D24" s="3" t="s">
        <v>393</v>
      </c>
      <c r="E24" s="3" t="s">
        <v>394</v>
      </c>
      <c r="F24" s="4" t="s">
        <v>395</v>
      </c>
      <c r="G24" s="3" t="s">
        <v>396</v>
      </c>
      <c r="J24" s="3" t="s">
        <v>390</v>
      </c>
      <c r="K24" s="3" t="s">
        <v>397</v>
      </c>
      <c r="L24" s="3" t="s">
        <v>398</v>
      </c>
      <c r="M24" s="3" t="s">
        <v>399</v>
      </c>
      <c r="N24" s="3" t="s">
        <v>400</v>
      </c>
      <c r="O24" s="4" t="s">
        <v>401</v>
      </c>
      <c r="P24" s="3" t="s">
        <v>402</v>
      </c>
      <c r="S24" s="3" t="s">
        <v>390</v>
      </c>
      <c r="T24" s="3" t="s">
        <v>403</v>
      </c>
      <c r="U24" s="3" t="s">
        <v>404</v>
      </c>
      <c r="V24" s="3" t="s">
        <v>405</v>
      </c>
      <c r="W24" s="3" t="s">
        <v>406</v>
      </c>
      <c r="X24" s="4" t="s">
        <v>406</v>
      </c>
      <c r="Y24" s="3" t="s">
        <v>407</v>
      </c>
    </row>
    <row r="25">
      <c r="A25" s="3" t="s">
        <v>408</v>
      </c>
      <c r="B25" s="3" t="s">
        <v>409</v>
      </c>
      <c r="C25" s="3" t="s">
        <v>410</v>
      </c>
      <c r="D25" s="3" t="s">
        <v>411</v>
      </c>
      <c r="E25" s="3" t="s">
        <v>412</v>
      </c>
      <c r="F25" s="4" t="s">
        <v>413</v>
      </c>
      <c r="G25" s="3" t="s">
        <v>414</v>
      </c>
      <c r="J25" s="3" t="s">
        <v>408</v>
      </c>
      <c r="K25" s="3" t="s">
        <v>415</v>
      </c>
      <c r="L25" s="3" t="s">
        <v>120</v>
      </c>
      <c r="M25" s="3" t="s">
        <v>416</v>
      </c>
      <c r="N25" s="3" t="s">
        <v>417</v>
      </c>
      <c r="O25" s="4" t="s">
        <v>418</v>
      </c>
      <c r="P25" s="3" t="s">
        <v>419</v>
      </c>
      <c r="S25" s="3" t="s">
        <v>408</v>
      </c>
      <c r="T25" s="3" t="s">
        <v>420</v>
      </c>
      <c r="U25" s="3" t="s">
        <v>421</v>
      </c>
      <c r="V25" s="3" t="s">
        <v>422</v>
      </c>
      <c r="W25" s="3" t="s">
        <v>423</v>
      </c>
      <c r="X25" s="4" t="s">
        <v>423</v>
      </c>
      <c r="Y25" s="3" t="s">
        <v>424</v>
      </c>
    </row>
    <row r="26">
      <c r="A26" s="3" t="s">
        <v>425</v>
      </c>
      <c r="B26" s="3" t="s">
        <v>426</v>
      </c>
      <c r="C26" s="3" t="s">
        <v>427</v>
      </c>
      <c r="D26" s="3" t="s">
        <v>428</v>
      </c>
      <c r="E26" s="3" t="s">
        <v>429</v>
      </c>
      <c r="F26" s="4" t="s">
        <v>430</v>
      </c>
      <c r="G26" s="3" t="s">
        <v>431</v>
      </c>
      <c r="J26" s="3" t="s">
        <v>425</v>
      </c>
      <c r="K26" s="3" t="s">
        <v>432</v>
      </c>
      <c r="L26" s="3" t="s">
        <v>433</v>
      </c>
      <c r="M26" s="3" t="s">
        <v>434</v>
      </c>
      <c r="N26" s="3" t="s">
        <v>435</v>
      </c>
      <c r="O26" s="4" t="s">
        <v>436</v>
      </c>
      <c r="P26" s="3" t="s">
        <v>437</v>
      </c>
      <c r="S26" s="3" t="s">
        <v>425</v>
      </c>
      <c r="T26" s="3" t="s">
        <v>438</v>
      </c>
      <c r="U26" s="3" t="s">
        <v>439</v>
      </c>
      <c r="V26" s="3" t="s">
        <v>440</v>
      </c>
      <c r="W26" s="3" t="s">
        <v>441</v>
      </c>
      <c r="X26" s="4" t="s">
        <v>441</v>
      </c>
      <c r="Y26" s="3" t="s">
        <v>442</v>
      </c>
    </row>
    <row r="27">
      <c r="A27" s="3" t="s">
        <v>443</v>
      </c>
      <c r="B27" s="3" t="s">
        <v>444</v>
      </c>
      <c r="C27" s="3" t="s">
        <v>445</v>
      </c>
      <c r="D27" s="3" t="s">
        <v>446</v>
      </c>
      <c r="E27" s="3" t="s">
        <v>447</v>
      </c>
      <c r="F27" s="4" t="s">
        <v>448</v>
      </c>
      <c r="G27" s="3" t="s">
        <v>449</v>
      </c>
      <c r="J27" s="3" t="s">
        <v>443</v>
      </c>
      <c r="K27" s="3" t="s">
        <v>450</v>
      </c>
      <c r="L27" s="3" t="s">
        <v>451</v>
      </c>
      <c r="M27" s="3" t="s">
        <v>452</v>
      </c>
      <c r="N27" s="3" t="s">
        <v>453</v>
      </c>
      <c r="O27" s="4" t="s">
        <v>454</v>
      </c>
      <c r="P27" s="3" t="s">
        <v>455</v>
      </c>
      <c r="S27" s="3" t="s">
        <v>443</v>
      </c>
      <c r="T27" s="3" t="s">
        <v>456</v>
      </c>
      <c r="U27" s="3" t="s">
        <v>457</v>
      </c>
      <c r="V27" s="3" t="s">
        <v>458</v>
      </c>
      <c r="W27" s="3" t="s">
        <v>459</v>
      </c>
      <c r="X27" s="4" t="s">
        <v>459</v>
      </c>
      <c r="Y27" s="3" t="s">
        <v>460</v>
      </c>
    </row>
    <row r="28">
      <c r="A28" s="3" t="s">
        <v>461</v>
      </c>
      <c r="B28" s="3" t="s">
        <v>462</v>
      </c>
      <c r="C28" s="3" t="s">
        <v>463</v>
      </c>
      <c r="D28" s="3" t="s">
        <v>464</v>
      </c>
      <c r="E28" s="3" t="s">
        <v>465</v>
      </c>
      <c r="F28" s="4" t="s">
        <v>466</v>
      </c>
      <c r="G28" s="3" t="s">
        <v>467</v>
      </c>
      <c r="J28" s="3" t="s">
        <v>461</v>
      </c>
      <c r="K28" s="3" t="s">
        <v>468</v>
      </c>
      <c r="L28" s="3" t="s">
        <v>469</v>
      </c>
      <c r="M28" s="3" t="s">
        <v>470</v>
      </c>
      <c r="N28" s="3" t="s">
        <v>471</v>
      </c>
      <c r="O28" s="4" t="s">
        <v>472</v>
      </c>
      <c r="P28" s="3" t="s">
        <v>473</v>
      </c>
      <c r="S28" s="3" t="s">
        <v>461</v>
      </c>
      <c r="T28" s="3" t="s">
        <v>474</v>
      </c>
      <c r="U28" s="3" t="s">
        <v>475</v>
      </c>
      <c r="V28" s="3" t="s">
        <v>476</v>
      </c>
      <c r="W28" s="3" t="s">
        <v>477</v>
      </c>
      <c r="X28" s="4" t="s">
        <v>477</v>
      </c>
      <c r="Y28" s="3" t="s">
        <v>478</v>
      </c>
    </row>
    <row r="29">
      <c r="A29" s="3" t="s">
        <v>479</v>
      </c>
      <c r="B29" s="3" t="s">
        <v>480</v>
      </c>
      <c r="C29" s="3" t="s">
        <v>481</v>
      </c>
      <c r="D29" s="3" t="s">
        <v>482</v>
      </c>
      <c r="E29" s="3" t="s">
        <v>483</v>
      </c>
      <c r="F29" s="4" t="s">
        <v>484</v>
      </c>
      <c r="G29" s="3" t="s">
        <v>485</v>
      </c>
      <c r="J29" s="3" t="s">
        <v>479</v>
      </c>
      <c r="K29" s="3" t="s">
        <v>486</v>
      </c>
      <c r="L29" s="3" t="s">
        <v>487</v>
      </c>
      <c r="M29" s="3" t="s">
        <v>488</v>
      </c>
      <c r="N29" s="3" t="s">
        <v>489</v>
      </c>
      <c r="O29" s="4" t="s">
        <v>490</v>
      </c>
      <c r="P29" s="3" t="s">
        <v>491</v>
      </c>
      <c r="S29" s="3" t="s">
        <v>479</v>
      </c>
      <c r="T29" s="3" t="s">
        <v>492</v>
      </c>
      <c r="U29" s="3" t="s">
        <v>493</v>
      </c>
      <c r="V29" s="3" t="s">
        <v>494</v>
      </c>
      <c r="W29" s="3" t="s">
        <v>495</v>
      </c>
      <c r="X29" s="4" t="s">
        <v>495</v>
      </c>
      <c r="Y29" s="3" t="s">
        <v>496</v>
      </c>
    </row>
    <row r="30">
      <c r="A30" s="3" t="s">
        <v>497</v>
      </c>
      <c r="B30" s="3" t="s">
        <v>498</v>
      </c>
      <c r="C30" s="3" t="s">
        <v>499</v>
      </c>
      <c r="D30" s="3" t="s">
        <v>500</v>
      </c>
      <c r="E30" s="3" t="s">
        <v>501</v>
      </c>
      <c r="F30" s="4" t="s">
        <v>502</v>
      </c>
      <c r="G30" s="3" t="s">
        <v>503</v>
      </c>
      <c r="J30" s="3" t="s">
        <v>497</v>
      </c>
      <c r="K30" s="3" t="s">
        <v>504</v>
      </c>
      <c r="L30" s="3" t="s">
        <v>505</v>
      </c>
      <c r="M30" s="3" t="s">
        <v>506</v>
      </c>
      <c r="N30" s="3" t="s">
        <v>507</v>
      </c>
      <c r="O30" s="4" t="s">
        <v>508</v>
      </c>
      <c r="P30" s="3" t="s">
        <v>509</v>
      </c>
      <c r="S30" s="3" t="s">
        <v>497</v>
      </c>
      <c r="T30" s="3" t="s">
        <v>510</v>
      </c>
      <c r="U30" s="3" t="s">
        <v>511</v>
      </c>
      <c r="V30" s="3" t="s">
        <v>512</v>
      </c>
      <c r="W30" s="3" t="s">
        <v>513</v>
      </c>
      <c r="X30" s="4" t="s">
        <v>513</v>
      </c>
      <c r="Y30" s="3" t="s">
        <v>514</v>
      </c>
    </row>
    <row r="31">
      <c r="A31" s="3" t="s">
        <v>515</v>
      </c>
      <c r="B31" s="3" t="s">
        <v>516</v>
      </c>
      <c r="C31" s="3" t="s">
        <v>517</v>
      </c>
      <c r="D31" s="3" t="s">
        <v>518</v>
      </c>
      <c r="E31" s="3" t="s">
        <v>519</v>
      </c>
      <c r="F31" s="4" t="s">
        <v>520</v>
      </c>
      <c r="G31" s="3" t="s">
        <v>521</v>
      </c>
      <c r="J31" s="3" t="s">
        <v>515</v>
      </c>
      <c r="K31" s="3" t="s">
        <v>508</v>
      </c>
      <c r="L31" s="3" t="s">
        <v>522</v>
      </c>
      <c r="M31" s="3" t="s">
        <v>523</v>
      </c>
      <c r="N31" s="3" t="s">
        <v>524</v>
      </c>
      <c r="O31" s="4" t="s">
        <v>525</v>
      </c>
      <c r="P31" s="3" t="s">
        <v>526</v>
      </c>
      <c r="S31" s="3" t="s">
        <v>515</v>
      </c>
      <c r="T31" s="3" t="s">
        <v>527</v>
      </c>
      <c r="U31" s="3" t="s">
        <v>528</v>
      </c>
      <c r="V31" s="3" t="s">
        <v>529</v>
      </c>
      <c r="W31" s="3" t="s">
        <v>530</v>
      </c>
      <c r="X31" s="4" t="s">
        <v>530</v>
      </c>
      <c r="Y31" s="3" t="s">
        <v>531</v>
      </c>
    </row>
    <row r="32">
      <c r="A32" s="3" t="s">
        <v>532</v>
      </c>
      <c r="B32" s="3" t="s">
        <v>533</v>
      </c>
      <c r="C32" s="3" t="s">
        <v>534</v>
      </c>
      <c r="D32" s="3" t="s">
        <v>535</v>
      </c>
      <c r="E32" s="3" t="s">
        <v>536</v>
      </c>
      <c r="F32" s="4" t="s">
        <v>537</v>
      </c>
      <c r="G32" s="3" t="s">
        <v>538</v>
      </c>
      <c r="J32" s="3" t="s">
        <v>532</v>
      </c>
      <c r="K32" s="3" t="s">
        <v>539</v>
      </c>
      <c r="L32" s="3" t="s">
        <v>540</v>
      </c>
      <c r="M32" s="3" t="s">
        <v>541</v>
      </c>
      <c r="N32" s="3" t="s">
        <v>542</v>
      </c>
      <c r="O32" s="4" t="s">
        <v>543</v>
      </c>
      <c r="P32" s="3" t="s">
        <v>544</v>
      </c>
      <c r="S32" s="3" t="s">
        <v>532</v>
      </c>
      <c r="T32" s="3" t="s">
        <v>545</v>
      </c>
      <c r="U32" s="3" t="s">
        <v>546</v>
      </c>
      <c r="V32" s="3" t="s">
        <v>547</v>
      </c>
      <c r="W32" s="3" t="s">
        <v>548</v>
      </c>
      <c r="X32" s="4" t="s">
        <v>548</v>
      </c>
      <c r="Y32" s="3" t="s">
        <v>549</v>
      </c>
    </row>
    <row r="33">
      <c r="A33" s="3" t="s">
        <v>550</v>
      </c>
      <c r="B33" s="3" t="s">
        <v>551</v>
      </c>
      <c r="C33" s="3" t="s">
        <v>552</v>
      </c>
      <c r="D33" s="3" t="s">
        <v>553</v>
      </c>
      <c r="E33" s="3" t="s">
        <v>554</v>
      </c>
      <c r="F33" s="4" t="s">
        <v>555</v>
      </c>
      <c r="G33" s="3" t="s">
        <v>556</v>
      </c>
      <c r="J33" s="3" t="s">
        <v>550</v>
      </c>
      <c r="K33" s="3" t="s">
        <v>557</v>
      </c>
      <c r="L33" s="3" t="s">
        <v>558</v>
      </c>
      <c r="M33" s="3" t="s">
        <v>559</v>
      </c>
      <c r="N33" s="3" t="s">
        <v>560</v>
      </c>
      <c r="O33" s="4" t="s">
        <v>561</v>
      </c>
      <c r="P33" s="3" t="s">
        <v>562</v>
      </c>
      <c r="S33" s="3" t="s">
        <v>550</v>
      </c>
      <c r="T33" s="3" t="s">
        <v>563</v>
      </c>
      <c r="U33" s="3" t="s">
        <v>564</v>
      </c>
      <c r="V33" s="3" t="s">
        <v>563</v>
      </c>
      <c r="W33" s="3" t="s">
        <v>565</v>
      </c>
      <c r="X33" s="4" t="s">
        <v>565</v>
      </c>
      <c r="Y33" s="3" t="s">
        <v>566</v>
      </c>
    </row>
    <row r="34">
      <c r="A34" s="3" t="s">
        <v>567</v>
      </c>
      <c r="B34" s="3" t="s">
        <v>568</v>
      </c>
      <c r="C34" s="3" t="s">
        <v>569</v>
      </c>
      <c r="D34" s="3" t="s">
        <v>570</v>
      </c>
      <c r="E34" s="3" t="s">
        <v>571</v>
      </c>
      <c r="F34" s="4" t="s">
        <v>572</v>
      </c>
      <c r="G34" s="3" t="s">
        <v>573</v>
      </c>
      <c r="J34" s="3" t="s">
        <v>567</v>
      </c>
      <c r="K34" s="3" t="s">
        <v>574</v>
      </c>
      <c r="L34" s="3" t="s">
        <v>575</v>
      </c>
      <c r="M34" s="3" t="s">
        <v>576</v>
      </c>
      <c r="N34" s="3" t="s">
        <v>577</v>
      </c>
      <c r="O34" s="4" t="s">
        <v>578</v>
      </c>
      <c r="P34" s="3" t="s">
        <v>579</v>
      </c>
      <c r="S34" s="3" t="s">
        <v>567</v>
      </c>
      <c r="T34" s="3" t="s">
        <v>580</v>
      </c>
      <c r="U34" s="3" t="s">
        <v>581</v>
      </c>
      <c r="V34" s="3" t="s">
        <v>582</v>
      </c>
      <c r="W34" s="3" t="s">
        <v>583</v>
      </c>
      <c r="X34" s="4" t="s">
        <v>583</v>
      </c>
      <c r="Y34" s="3" t="s">
        <v>584</v>
      </c>
    </row>
    <row r="35">
      <c r="A35" s="3" t="s">
        <v>585</v>
      </c>
      <c r="B35" s="3" t="s">
        <v>586</v>
      </c>
      <c r="C35" s="3" t="s">
        <v>587</v>
      </c>
      <c r="D35" s="3" t="s">
        <v>588</v>
      </c>
      <c r="E35" s="3" t="s">
        <v>589</v>
      </c>
      <c r="F35" s="4" t="s">
        <v>590</v>
      </c>
      <c r="G35" s="3" t="s">
        <v>591</v>
      </c>
      <c r="J35" s="3" t="s">
        <v>585</v>
      </c>
      <c r="K35" s="3" t="s">
        <v>592</v>
      </c>
      <c r="L35" s="3" t="s">
        <v>593</v>
      </c>
      <c r="M35" s="3" t="s">
        <v>594</v>
      </c>
      <c r="N35" s="3" t="s">
        <v>595</v>
      </c>
      <c r="O35" s="4" t="s">
        <v>596</v>
      </c>
      <c r="P35" s="3" t="s">
        <v>597</v>
      </c>
      <c r="S35" s="3" t="s">
        <v>585</v>
      </c>
      <c r="T35" s="3" t="s">
        <v>598</v>
      </c>
      <c r="U35" s="3" t="s">
        <v>599</v>
      </c>
      <c r="V35" s="3" t="s">
        <v>600</v>
      </c>
      <c r="W35" s="3" t="s">
        <v>601</v>
      </c>
      <c r="X35" s="4" t="s">
        <v>601</v>
      </c>
      <c r="Y35" s="3" t="s">
        <v>602</v>
      </c>
    </row>
    <row r="36">
      <c r="A36" s="3" t="s">
        <v>603</v>
      </c>
      <c r="B36" s="3" t="s">
        <v>604</v>
      </c>
      <c r="C36" s="3" t="s">
        <v>605</v>
      </c>
      <c r="D36" s="3" t="s">
        <v>606</v>
      </c>
      <c r="E36" s="3" t="s">
        <v>607</v>
      </c>
      <c r="F36" s="4" t="s">
        <v>608</v>
      </c>
      <c r="G36" s="3" t="s">
        <v>609</v>
      </c>
      <c r="J36" s="3" t="s">
        <v>603</v>
      </c>
      <c r="K36" s="3" t="s">
        <v>610</v>
      </c>
      <c r="L36" s="3" t="s">
        <v>611</v>
      </c>
      <c r="M36" s="3" t="s">
        <v>612</v>
      </c>
      <c r="N36" s="3" t="s">
        <v>613</v>
      </c>
      <c r="O36" s="4" t="s">
        <v>614</v>
      </c>
      <c r="P36" s="3" t="s">
        <v>615</v>
      </c>
      <c r="S36" s="3" t="s">
        <v>603</v>
      </c>
      <c r="T36" s="3" t="s">
        <v>616</v>
      </c>
      <c r="U36" s="3" t="s">
        <v>617</v>
      </c>
      <c r="V36" s="3" t="s">
        <v>618</v>
      </c>
      <c r="W36" s="3" t="s">
        <v>619</v>
      </c>
      <c r="X36" s="4" t="s">
        <v>619</v>
      </c>
      <c r="Y36" s="3" t="s">
        <v>620</v>
      </c>
    </row>
    <row r="37">
      <c r="A37" s="3" t="s">
        <v>621</v>
      </c>
      <c r="B37" s="3" t="s">
        <v>622</v>
      </c>
      <c r="C37" s="3" t="s">
        <v>623</v>
      </c>
      <c r="D37" s="3" t="s">
        <v>624</v>
      </c>
      <c r="E37" s="3" t="s">
        <v>625</v>
      </c>
      <c r="F37" s="4" t="s">
        <v>626</v>
      </c>
      <c r="G37" s="3" t="s">
        <v>627</v>
      </c>
      <c r="J37" s="3" t="s">
        <v>621</v>
      </c>
      <c r="K37" s="3" t="s">
        <v>628</v>
      </c>
      <c r="L37" s="3" t="s">
        <v>629</v>
      </c>
      <c r="M37" s="3" t="s">
        <v>630</v>
      </c>
      <c r="N37" s="3" t="s">
        <v>631</v>
      </c>
      <c r="O37" s="4" t="s">
        <v>632</v>
      </c>
      <c r="P37" s="3" t="s">
        <v>633</v>
      </c>
      <c r="S37" s="3" t="s">
        <v>621</v>
      </c>
      <c r="T37" s="3" t="s">
        <v>634</v>
      </c>
      <c r="U37" s="3" t="s">
        <v>635</v>
      </c>
      <c r="V37" s="3" t="s">
        <v>636</v>
      </c>
      <c r="W37" s="3" t="s">
        <v>637</v>
      </c>
      <c r="X37" s="4" t="s">
        <v>637</v>
      </c>
      <c r="Y37" s="3" t="s">
        <v>638</v>
      </c>
    </row>
    <row r="38">
      <c r="A38" s="3" t="s">
        <v>639</v>
      </c>
      <c r="B38" s="3" t="s">
        <v>640</v>
      </c>
      <c r="C38" s="3" t="s">
        <v>641</v>
      </c>
      <c r="D38" s="3" t="s">
        <v>642</v>
      </c>
      <c r="E38" s="3" t="s">
        <v>643</v>
      </c>
      <c r="F38" s="4" t="s">
        <v>644</v>
      </c>
      <c r="G38" s="3" t="s">
        <v>645</v>
      </c>
      <c r="J38" s="3" t="s">
        <v>639</v>
      </c>
      <c r="K38" s="3" t="s">
        <v>646</v>
      </c>
      <c r="L38" s="3" t="s">
        <v>647</v>
      </c>
      <c r="M38" s="3" t="s">
        <v>648</v>
      </c>
      <c r="N38" s="3" t="s">
        <v>649</v>
      </c>
      <c r="O38" s="4" t="s">
        <v>650</v>
      </c>
      <c r="P38" s="3" t="s">
        <v>651</v>
      </c>
      <c r="S38" s="3" t="s">
        <v>639</v>
      </c>
      <c r="T38" s="3" t="s">
        <v>652</v>
      </c>
      <c r="U38" s="3" t="s">
        <v>653</v>
      </c>
      <c r="V38" s="3" t="s">
        <v>654</v>
      </c>
      <c r="W38" s="3" t="s">
        <v>655</v>
      </c>
      <c r="X38" s="4" t="s">
        <v>655</v>
      </c>
      <c r="Y38" s="3" t="s">
        <v>656</v>
      </c>
    </row>
    <row r="39">
      <c r="A39" s="3" t="s">
        <v>657</v>
      </c>
      <c r="B39" s="3" t="s">
        <v>658</v>
      </c>
      <c r="C39" s="3" t="s">
        <v>659</v>
      </c>
      <c r="D39" s="3" t="s">
        <v>660</v>
      </c>
      <c r="E39" s="3" t="s">
        <v>661</v>
      </c>
      <c r="F39" s="4" t="s">
        <v>662</v>
      </c>
      <c r="G39" s="3" t="s">
        <v>663</v>
      </c>
      <c r="J39" s="3" t="s">
        <v>657</v>
      </c>
      <c r="K39" s="3" t="s">
        <v>664</v>
      </c>
      <c r="L39" s="3" t="s">
        <v>665</v>
      </c>
      <c r="M39" s="3" t="s">
        <v>666</v>
      </c>
      <c r="N39" s="3" t="s">
        <v>667</v>
      </c>
      <c r="O39" s="4" t="s">
        <v>668</v>
      </c>
      <c r="P39" s="3" t="s">
        <v>669</v>
      </c>
      <c r="S39" s="3" t="s">
        <v>657</v>
      </c>
      <c r="T39" s="3" t="s">
        <v>670</v>
      </c>
      <c r="U39" s="3" t="s">
        <v>671</v>
      </c>
      <c r="V39" s="3" t="s">
        <v>672</v>
      </c>
      <c r="W39" s="3" t="s">
        <v>673</v>
      </c>
      <c r="X39" s="4" t="s">
        <v>673</v>
      </c>
      <c r="Y39" s="3" t="s">
        <v>674</v>
      </c>
    </row>
    <row r="40">
      <c r="A40" s="3" t="s">
        <v>675</v>
      </c>
      <c r="B40" s="3" t="s">
        <v>676</v>
      </c>
      <c r="C40" s="3" t="s">
        <v>677</v>
      </c>
      <c r="D40" s="3" t="s">
        <v>678</v>
      </c>
      <c r="E40" s="3" t="s">
        <v>679</v>
      </c>
      <c r="F40" s="4" t="s">
        <v>680</v>
      </c>
      <c r="G40" s="3" t="s">
        <v>681</v>
      </c>
      <c r="J40" s="3" t="s">
        <v>675</v>
      </c>
      <c r="K40" s="3" t="s">
        <v>682</v>
      </c>
      <c r="L40" s="3" t="s">
        <v>683</v>
      </c>
      <c r="M40" s="3" t="s">
        <v>684</v>
      </c>
      <c r="N40" s="3" t="s">
        <v>685</v>
      </c>
      <c r="O40" s="4" t="s">
        <v>686</v>
      </c>
      <c r="P40" s="3" t="s">
        <v>687</v>
      </c>
      <c r="S40" s="3" t="s">
        <v>675</v>
      </c>
      <c r="T40" s="3" t="s">
        <v>688</v>
      </c>
      <c r="U40" s="3" t="s">
        <v>689</v>
      </c>
      <c r="V40" s="3" t="s">
        <v>690</v>
      </c>
      <c r="W40" s="3" t="s">
        <v>691</v>
      </c>
      <c r="X40" s="4" t="s">
        <v>691</v>
      </c>
      <c r="Y40" s="3" t="s">
        <v>692</v>
      </c>
    </row>
    <row r="41">
      <c r="A41" s="3" t="s">
        <v>693</v>
      </c>
      <c r="B41" s="3" t="s">
        <v>694</v>
      </c>
      <c r="C41" s="3" t="s">
        <v>695</v>
      </c>
      <c r="D41" s="3" t="s">
        <v>696</v>
      </c>
      <c r="E41" s="3" t="s">
        <v>697</v>
      </c>
      <c r="F41" s="4" t="s">
        <v>698</v>
      </c>
      <c r="G41" s="3" t="s">
        <v>699</v>
      </c>
      <c r="J41" s="3" t="s">
        <v>693</v>
      </c>
      <c r="K41" s="3" t="s">
        <v>700</v>
      </c>
      <c r="L41" s="3" t="s">
        <v>701</v>
      </c>
      <c r="M41" s="3" t="s">
        <v>702</v>
      </c>
      <c r="N41" s="3" t="s">
        <v>703</v>
      </c>
      <c r="O41" s="4" t="s">
        <v>704</v>
      </c>
      <c r="P41" s="3" t="s">
        <v>705</v>
      </c>
      <c r="S41" s="3" t="s">
        <v>693</v>
      </c>
      <c r="T41" s="3" t="s">
        <v>706</v>
      </c>
      <c r="U41" s="3" t="s">
        <v>707</v>
      </c>
      <c r="V41" s="3" t="s">
        <v>708</v>
      </c>
      <c r="W41" s="3" t="s">
        <v>709</v>
      </c>
      <c r="X41" s="4" t="s">
        <v>709</v>
      </c>
      <c r="Y41" s="3" t="s">
        <v>710</v>
      </c>
    </row>
    <row r="42">
      <c r="A42" s="3" t="s">
        <v>711</v>
      </c>
      <c r="B42" s="3" t="s">
        <v>712</v>
      </c>
      <c r="C42" s="3" t="s">
        <v>713</v>
      </c>
      <c r="D42" s="3" t="s">
        <v>714</v>
      </c>
      <c r="E42" s="3" t="s">
        <v>715</v>
      </c>
      <c r="F42" s="4" t="s">
        <v>716</v>
      </c>
      <c r="G42" s="3" t="s">
        <v>717</v>
      </c>
      <c r="J42" s="3" t="s">
        <v>711</v>
      </c>
      <c r="K42" s="3" t="s">
        <v>718</v>
      </c>
      <c r="L42" s="3" t="s">
        <v>719</v>
      </c>
      <c r="M42" s="3" t="s">
        <v>720</v>
      </c>
      <c r="N42" s="3" t="s">
        <v>721</v>
      </c>
      <c r="O42" s="4" t="s">
        <v>722</v>
      </c>
      <c r="P42" s="3" t="s">
        <v>723</v>
      </c>
      <c r="S42" s="3" t="s">
        <v>711</v>
      </c>
      <c r="T42" s="3" t="s">
        <v>724</v>
      </c>
      <c r="U42" s="3" t="s">
        <v>725</v>
      </c>
      <c r="V42" s="3" t="s">
        <v>726</v>
      </c>
      <c r="W42" s="3" t="s">
        <v>727</v>
      </c>
      <c r="X42" s="4" t="s">
        <v>727</v>
      </c>
      <c r="Y42" s="3" t="s">
        <v>728</v>
      </c>
    </row>
    <row r="43">
      <c r="A43" s="3" t="s">
        <v>729</v>
      </c>
      <c r="B43" s="3" t="s">
        <v>730</v>
      </c>
      <c r="C43" s="3" t="s">
        <v>731</v>
      </c>
      <c r="D43" s="3" t="s">
        <v>732</v>
      </c>
      <c r="E43" s="3" t="s">
        <v>733</v>
      </c>
      <c r="F43" s="4" t="s">
        <v>734</v>
      </c>
      <c r="G43" s="3" t="s">
        <v>735</v>
      </c>
      <c r="J43" s="3" t="s">
        <v>729</v>
      </c>
      <c r="K43" s="3" t="s">
        <v>736</v>
      </c>
      <c r="L43" s="3" t="s">
        <v>737</v>
      </c>
      <c r="M43" s="3" t="s">
        <v>738</v>
      </c>
      <c r="N43" s="3" t="s">
        <v>739</v>
      </c>
      <c r="O43" s="4" t="s">
        <v>740</v>
      </c>
      <c r="P43" s="3" t="s">
        <v>741</v>
      </c>
      <c r="S43" s="3" t="s">
        <v>729</v>
      </c>
      <c r="T43" s="3" t="s">
        <v>742</v>
      </c>
      <c r="U43" s="3" t="s">
        <v>743</v>
      </c>
      <c r="V43" s="3" t="s">
        <v>744</v>
      </c>
      <c r="W43" s="3" t="s">
        <v>745</v>
      </c>
      <c r="X43" s="4" t="s">
        <v>745</v>
      </c>
      <c r="Y43" s="3" t="s">
        <v>746</v>
      </c>
    </row>
    <row r="44">
      <c r="A44" s="3" t="s">
        <v>747</v>
      </c>
      <c r="B44" s="3" t="s">
        <v>748</v>
      </c>
      <c r="C44" s="3" t="s">
        <v>749</v>
      </c>
      <c r="D44" s="3" t="s">
        <v>750</v>
      </c>
      <c r="E44" s="3" t="s">
        <v>751</v>
      </c>
      <c r="F44" s="4" t="s">
        <v>752</v>
      </c>
      <c r="G44" s="3" t="s">
        <v>753</v>
      </c>
      <c r="J44" s="3" t="s">
        <v>747</v>
      </c>
      <c r="K44" s="3" t="s">
        <v>754</v>
      </c>
      <c r="L44" s="3" t="s">
        <v>755</v>
      </c>
      <c r="M44" s="3" t="s">
        <v>756</v>
      </c>
      <c r="N44" s="3" t="s">
        <v>757</v>
      </c>
      <c r="O44" s="4" t="s">
        <v>758</v>
      </c>
      <c r="P44" s="3" t="s">
        <v>759</v>
      </c>
      <c r="S44" s="3" t="s">
        <v>747</v>
      </c>
      <c r="T44" s="3" t="s">
        <v>760</v>
      </c>
      <c r="U44" s="3" t="s">
        <v>761</v>
      </c>
      <c r="V44" s="3" t="s">
        <v>762</v>
      </c>
      <c r="W44" s="3" t="s">
        <v>763</v>
      </c>
      <c r="X44" s="4" t="s">
        <v>763</v>
      </c>
      <c r="Y44" s="3" t="s">
        <v>764</v>
      </c>
    </row>
    <row r="45">
      <c r="A45" s="3" t="s">
        <v>765</v>
      </c>
      <c r="B45" s="3" t="s">
        <v>766</v>
      </c>
      <c r="C45" s="3" t="s">
        <v>767</v>
      </c>
      <c r="D45" s="3" t="s">
        <v>768</v>
      </c>
      <c r="E45" s="3" t="s">
        <v>769</v>
      </c>
      <c r="F45" s="4" t="s">
        <v>770</v>
      </c>
      <c r="G45" s="3" t="s">
        <v>771</v>
      </c>
      <c r="J45" s="3" t="s">
        <v>765</v>
      </c>
      <c r="K45" s="3" t="s">
        <v>772</v>
      </c>
      <c r="L45" s="3" t="s">
        <v>773</v>
      </c>
      <c r="M45" s="3" t="s">
        <v>774</v>
      </c>
      <c r="N45" s="3" t="s">
        <v>775</v>
      </c>
      <c r="O45" s="4" t="s">
        <v>776</v>
      </c>
      <c r="P45" s="3" t="s">
        <v>777</v>
      </c>
      <c r="S45" s="3" t="s">
        <v>765</v>
      </c>
      <c r="T45" s="3" t="s">
        <v>778</v>
      </c>
      <c r="U45" s="3" t="s">
        <v>779</v>
      </c>
      <c r="V45" s="3" t="s">
        <v>780</v>
      </c>
      <c r="W45" s="3" t="s">
        <v>781</v>
      </c>
      <c r="X45" s="4" t="s">
        <v>781</v>
      </c>
      <c r="Y45" s="3" t="s">
        <v>782</v>
      </c>
    </row>
    <row r="46">
      <c r="A46" s="3" t="s">
        <v>783</v>
      </c>
      <c r="B46" s="3" t="s">
        <v>784</v>
      </c>
      <c r="C46" s="3" t="s">
        <v>785</v>
      </c>
      <c r="D46" s="3" t="s">
        <v>786</v>
      </c>
      <c r="E46" s="3" t="s">
        <v>787</v>
      </c>
      <c r="F46" s="4" t="s">
        <v>788</v>
      </c>
      <c r="G46" s="3" t="s">
        <v>789</v>
      </c>
      <c r="J46" s="3" t="s">
        <v>783</v>
      </c>
      <c r="K46" s="3" t="s">
        <v>790</v>
      </c>
      <c r="L46" s="3" t="s">
        <v>791</v>
      </c>
      <c r="M46" s="3" t="s">
        <v>792</v>
      </c>
      <c r="N46" s="3" t="s">
        <v>793</v>
      </c>
      <c r="O46" s="4" t="s">
        <v>794</v>
      </c>
      <c r="P46" s="3" t="s">
        <v>795</v>
      </c>
      <c r="S46" s="3" t="s">
        <v>783</v>
      </c>
      <c r="T46" s="3" t="s">
        <v>796</v>
      </c>
      <c r="U46" s="3" t="s">
        <v>797</v>
      </c>
      <c r="V46" s="3" t="s">
        <v>798</v>
      </c>
      <c r="W46" s="3" t="s">
        <v>799</v>
      </c>
      <c r="X46" s="4" t="s">
        <v>799</v>
      </c>
      <c r="Y46" s="3" t="s">
        <v>800</v>
      </c>
    </row>
    <row r="47">
      <c r="A47" s="3" t="s">
        <v>801</v>
      </c>
      <c r="B47" s="3" t="s">
        <v>802</v>
      </c>
      <c r="C47" s="3" t="s">
        <v>803</v>
      </c>
      <c r="D47" s="3" t="s">
        <v>804</v>
      </c>
      <c r="E47" s="3" t="s">
        <v>805</v>
      </c>
      <c r="F47" s="4" t="s">
        <v>806</v>
      </c>
      <c r="G47" s="3" t="s">
        <v>807</v>
      </c>
      <c r="J47" s="3" t="s">
        <v>801</v>
      </c>
      <c r="K47" s="3" t="s">
        <v>808</v>
      </c>
      <c r="L47" s="3" t="s">
        <v>809</v>
      </c>
      <c r="M47" s="3" t="s">
        <v>810</v>
      </c>
      <c r="N47" s="3" t="s">
        <v>811</v>
      </c>
      <c r="O47" s="4" t="s">
        <v>812</v>
      </c>
      <c r="P47" s="3" t="s">
        <v>813</v>
      </c>
      <c r="S47" s="3" t="s">
        <v>801</v>
      </c>
      <c r="T47" s="3" t="s">
        <v>814</v>
      </c>
      <c r="U47" s="3" t="s">
        <v>815</v>
      </c>
      <c r="V47" s="3" t="s">
        <v>816</v>
      </c>
      <c r="W47" s="3" t="s">
        <v>817</v>
      </c>
      <c r="X47" s="4" t="s">
        <v>817</v>
      </c>
      <c r="Y47" s="3" t="s">
        <v>818</v>
      </c>
    </row>
    <row r="48">
      <c r="A48" s="3" t="s">
        <v>819</v>
      </c>
      <c r="B48" s="3" t="s">
        <v>820</v>
      </c>
      <c r="C48" s="3" t="s">
        <v>821</v>
      </c>
      <c r="D48" s="3" t="s">
        <v>822</v>
      </c>
      <c r="E48" s="3" t="s">
        <v>823</v>
      </c>
      <c r="F48" s="4" t="s">
        <v>824</v>
      </c>
      <c r="G48" s="3" t="s">
        <v>825</v>
      </c>
      <c r="J48" s="3" t="s">
        <v>819</v>
      </c>
      <c r="K48" s="3" t="s">
        <v>826</v>
      </c>
      <c r="L48" s="3" t="s">
        <v>827</v>
      </c>
      <c r="M48" s="3" t="s">
        <v>828</v>
      </c>
      <c r="N48" s="3" t="s">
        <v>829</v>
      </c>
      <c r="O48" s="4" t="s">
        <v>830</v>
      </c>
      <c r="P48" s="3" t="s">
        <v>831</v>
      </c>
      <c r="S48" s="3" t="s">
        <v>819</v>
      </c>
      <c r="T48" s="3" t="s">
        <v>832</v>
      </c>
      <c r="U48" s="3" t="s">
        <v>833</v>
      </c>
      <c r="V48" s="3" t="s">
        <v>834</v>
      </c>
      <c r="W48" s="3" t="s">
        <v>835</v>
      </c>
      <c r="X48" s="4" t="s">
        <v>835</v>
      </c>
      <c r="Y48" s="3" t="s">
        <v>836</v>
      </c>
    </row>
    <row r="49">
      <c r="A49" s="3" t="s">
        <v>837</v>
      </c>
      <c r="B49" s="3" t="s">
        <v>838</v>
      </c>
      <c r="C49" s="3" t="s">
        <v>839</v>
      </c>
      <c r="D49" s="3" t="s">
        <v>840</v>
      </c>
      <c r="E49" s="3" t="s">
        <v>841</v>
      </c>
      <c r="F49" s="4" t="s">
        <v>842</v>
      </c>
      <c r="G49" s="3" t="s">
        <v>843</v>
      </c>
      <c r="J49" s="3" t="s">
        <v>837</v>
      </c>
      <c r="K49" s="3" t="s">
        <v>844</v>
      </c>
      <c r="L49" s="3" t="s">
        <v>845</v>
      </c>
      <c r="M49" s="3" t="s">
        <v>846</v>
      </c>
      <c r="N49" s="3" t="s">
        <v>847</v>
      </c>
      <c r="O49" s="4" t="s">
        <v>848</v>
      </c>
      <c r="P49" s="3" t="s">
        <v>849</v>
      </c>
      <c r="S49" s="3" t="s">
        <v>837</v>
      </c>
      <c r="T49" s="3" t="s">
        <v>850</v>
      </c>
      <c r="U49" s="3" t="s">
        <v>851</v>
      </c>
      <c r="V49" s="3" t="s">
        <v>852</v>
      </c>
      <c r="W49" s="3" t="s">
        <v>853</v>
      </c>
      <c r="X49" s="4" t="s">
        <v>853</v>
      </c>
      <c r="Y49" s="3" t="s">
        <v>854</v>
      </c>
    </row>
    <row r="50">
      <c r="A50" s="3" t="s">
        <v>855</v>
      </c>
      <c r="B50" s="3" t="s">
        <v>856</v>
      </c>
      <c r="C50" s="3" t="s">
        <v>857</v>
      </c>
      <c r="D50" s="3" t="s">
        <v>858</v>
      </c>
      <c r="E50" s="3" t="s">
        <v>859</v>
      </c>
      <c r="F50" s="4" t="s">
        <v>860</v>
      </c>
      <c r="G50" s="3" t="s">
        <v>861</v>
      </c>
      <c r="J50" s="3" t="s">
        <v>855</v>
      </c>
      <c r="K50" s="3" t="s">
        <v>862</v>
      </c>
      <c r="L50" s="3" t="s">
        <v>863</v>
      </c>
      <c r="M50" s="3" t="s">
        <v>864</v>
      </c>
      <c r="N50" s="3" t="s">
        <v>865</v>
      </c>
      <c r="O50" s="4" t="s">
        <v>866</v>
      </c>
      <c r="P50" s="3" t="s">
        <v>867</v>
      </c>
      <c r="S50" s="3" t="s">
        <v>855</v>
      </c>
      <c r="T50" s="3" t="s">
        <v>868</v>
      </c>
      <c r="U50" s="3" t="s">
        <v>869</v>
      </c>
      <c r="V50" s="3" t="s">
        <v>870</v>
      </c>
      <c r="W50" s="3" t="s">
        <v>871</v>
      </c>
      <c r="X50" s="4" t="s">
        <v>871</v>
      </c>
      <c r="Y50" s="3" t="s">
        <v>872</v>
      </c>
    </row>
    <row r="51">
      <c r="A51" s="3" t="s">
        <v>873</v>
      </c>
      <c r="B51" s="3" t="s">
        <v>874</v>
      </c>
      <c r="C51" s="3" t="s">
        <v>875</v>
      </c>
      <c r="D51" s="3" t="s">
        <v>876</v>
      </c>
      <c r="E51" s="3" t="s">
        <v>877</v>
      </c>
      <c r="F51" s="4" t="s">
        <v>878</v>
      </c>
      <c r="G51" s="3" t="s">
        <v>879</v>
      </c>
      <c r="J51" s="3" t="s">
        <v>873</v>
      </c>
      <c r="K51" s="3" t="s">
        <v>880</v>
      </c>
      <c r="L51" s="3" t="s">
        <v>881</v>
      </c>
      <c r="M51" s="3" t="s">
        <v>882</v>
      </c>
      <c r="N51" s="3" t="s">
        <v>883</v>
      </c>
      <c r="O51" s="4" t="s">
        <v>884</v>
      </c>
      <c r="P51" s="3" t="s">
        <v>885</v>
      </c>
      <c r="S51" s="3" t="s">
        <v>873</v>
      </c>
      <c r="T51" s="3" t="s">
        <v>886</v>
      </c>
      <c r="U51" s="3" t="s">
        <v>887</v>
      </c>
      <c r="V51" s="3" t="s">
        <v>888</v>
      </c>
      <c r="W51" s="3" t="s">
        <v>889</v>
      </c>
      <c r="X51" s="4" t="s">
        <v>889</v>
      </c>
      <c r="Y51" s="3" t="s">
        <v>890</v>
      </c>
    </row>
    <row r="52">
      <c r="A52" s="3" t="s">
        <v>891</v>
      </c>
      <c r="B52" s="3" t="s">
        <v>892</v>
      </c>
      <c r="C52" s="3" t="s">
        <v>893</v>
      </c>
      <c r="D52" s="3" t="s">
        <v>894</v>
      </c>
      <c r="E52" s="3" t="s">
        <v>895</v>
      </c>
      <c r="F52" s="4" t="s">
        <v>896</v>
      </c>
      <c r="G52" s="3" t="s">
        <v>897</v>
      </c>
      <c r="J52" s="3" t="s">
        <v>891</v>
      </c>
      <c r="K52" s="3" t="s">
        <v>898</v>
      </c>
      <c r="L52" s="3" t="s">
        <v>899</v>
      </c>
      <c r="M52" s="3" t="s">
        <v>900</v>
      </c>
      <c r="N52" s="3" t="s">
        <v>901</v>
      </c>
      <c r="O52" s="4" t="s">
        <v>902</v>
      </c>
      <c r="P52" s="3" t="s">
        <v>903</v>
      </c>
      <c r="S52" s="3" t="s">
        <v>891</v>
      </c>
      <c r="T52" s="3" t="s">
        <v>904</v>
      </c>
      <c r="U52" s="3" t="s">
        <v>905</v>
      </c>
      <c r="V52" s="3" t="s">
        <v>906</v>
      </c>
      <c r="W52" s="3" t="s">
        <v>907</v>
      </c>
      <c r="X52" s="4" t="s">
        <v>907</v>
      </c>
      <c r="Y52" s="3" t="s">
        <v>908</v>
      </c>
    </row>
    <row r="53">
      <c r="A53" s="3" t="s">
        <v>909</v>
      </c>
      <c r="B53" s="3" t="s">
        <v>910</v>
      </c>
      <c r="C53" s="3" t="s">
        <v>911</v>
      </c>
      <c r="D53" s="3" t="s">
        <v>912</v>
      </c>
      <c r="E53" s="3" t="s">
        <v>913</v>
      </c>
      <c r="F53" s="4" t="s">
        <v>914</v>
      </c>
      <c r="G53" s="3" t="s">
        <v>915</v>
      </c>
      <c r="J53" s="3" t="s">
        <v>909</v>
      </c>
      <c r="K53" s="3" t="s">
        <v>916</v>
      </c>
      <c r="L53" s="3" t="s">
        <v>917</v>
      </c>
      <c r="M53" s="3" t="s">
        <v>918</v>
      </c>
      <c r="N53" s="3" t="s">
        <v>919</v>
      </c>
      <c r="O53" s="4" t="s">
        <v>920</v>
      </c>
      <c r="P53" s="3" t="s">
        <v>921</v>
      </c>
      <c r="S53" s="3" t="s">
        <v>909</v>
      </c>
      <c r="T53" s="3" t="s">
        <v>922</v>
      </c>
      <c r="U53" s="3" t="s">
        <v>923</v>
      </c>
      <c r="V53" s="3" t="s">
        <v>924</v>
      </c>
      <c r="W53" s="3" t="s">
        <v>925</v>
      </c>
      <c r="X53" s="4" t="s">
        <v>925</v>
      </c>
      <c r="Y53" s="3" t="s">
        <v>926</v>
      </c>
    </row>
    <row r="54">
      <c r="A54" s="3" t="s">
        <v>927</v>
      </c>
      <c r="B54" s="3" t="s">
        <v>928</v>
      </c>
      <c r="C54" s="3" t="s">
        <v>929</v>
      </c>
      <c r="D54" s="3" t="s">
        <v>930</v>
      </c>
      <c r="E54" s="3" t="s">
        <v>931</v>
      </c>
      <c r="F54" s="4" t="s">
        <v>932</v>
      </c>
      <c r="G54" s="3" t="s">
        <v>933</v>
      </c>
      <c r="J54" s="3" t="s">
        <v>927</v>
      </c>
      <c r="K54" s="3" t="s">
        <v>934</v>
      </c>
      <c r="L54" s="3" t="s">
        <v>935</v>
      </c>
      <c r="M54" s="3" t="s">
        <v>936</v>
      </c>
      <c r="N54" s="3" t="s">
        <v>937</v>
      </c>
      <c r="O54" s="4" t="s">
        <v>938</v>
      </c>
      <c r="P54" s="3" t="s">
        <v>939</v>
      </c>
      <c r="S54" s="3" t="s">
        <v>927</v>
      </c>
      <c r="T54" s="3" t="s">
        <v>940</v>
      </c>
      <c r="U54" s="3" t="s">
        <v>940</v>
      </c>
      <c r="V54" s="3" t="s">
        <v>941</v>
      </c>
      <c r="W54" s="3" t="s">
        <v>942</v>
      </c>
      <c r="X54" s="4" t="s">
        <v>942</v>
      </c>
      <c r="Y54" s="3" t="s">
        <v>943</v>
      </c>
    </row>
    <row r="55">
      <c r="A55" s="3"/>
      <c r="B55" s="3"/>
      <c r="C55" s="3"/>
      <c r="D55" s="3"/>
      <c r="E55" s="3"/>
      <c r="F55" s="3"/>
      <c r="G55" s="3"/>
    </row>
    <row r="56">
      <c r="A56" s="5" t="s">
        <v>944</v>
      </c>
      <c r="B56" s="6"/>
      <c r="C56" s="6"/>
      <c r="D56" s="6"/>
      <c r="E56" s="6"/>
      <c r="J56" s="7" t="s">
        <v>944</v>
      </c>
    </row>
    <row r="57">
      <c r="A57" s="8" t="s">
        <v>945</v>
      </c>
      <c r="B57" s="6"/>
      <c r="C57" s="6"/>
      <c r="D57" s="6"/>
      <c r="E57" s="6"/>
      <c r="J57" s="9" t="s">
        <v>946</v>
      </c>
    </row>
    <row r="58">
      <c r="A58" s="10" t="s">
        <v>947</v>
      </c>
      <c r="B58" s="6"/>
      <c r="C58" s="6"/>
      <c r="D58" s="6"/>
      <c r="E58" s="6"/>
      <c r="J58" s="11" t="s">
        <v>948</v>
      </c>
      <c r="S58" s="5" t="s">
        <v>949</v>
      </c>
    </row>
    <row r="59">
      <c r="A59" s="5" t="s">
        <v>950</v>
      </c>
      <c r="B59" s="6"/>
      <c r="C59" s="6"/>
      <c r="D59" s="6"/>
      <c r="E59" s="6"/>
      <c r="J59" s="7" t="s">
        <v>951</v>
      </c>
      <c r="S59" s="8" t="s">
        <v>952</v>
      </c>
    </row>
    <row r="60">
      <c r="A60" s="5" t="s">
        <v>953</v>
      </c>
      <c r="B60" s="6"/>
      <c r="C60" s="6"/>
      <c r="D60" s="6"/>
      <c r="E60" s="6"/>
      <c r="J60" s="7" t="s">
        <v>954</v>
      </c>
      <c r="S60" s="5" t="s">
        <v>955</v>
      </c>
    </row>
    <row r="61">
      <c r="A61" s="5" t="s">
        <v>956</v>
      </c>
      <c r="B61" s="6"/>
      <c r="C61" s="6"/>
      <c r="D61" s="6"/>
      <c r="E61" s="6"/>
      <c r="J61" s="7" t="s">
        <v>957</v>
      </c>
      <c r="S61" s="5" t="s">
        <v>958</v>
      </c>
    </row>
    <row r="62">
      <c r="A62" s="5" t="s">
        <v>959</v>
      </c>
      <c r="B62" s="6"/>
      <c r="C62" s="6"/>
      <c r="D62" s="6"/>
      <c r="E62" s="6"/>
      <c r="J62" s="7" t="s">
        <v>960</v>
      </c>
    </row>
  </sheetData>
  <hyperlinks>
    <hyperlink r:id="rId1" ref="A58"/>
    <hyperlink r:id="rId2" ref="J5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4.75"/>
    <col customWidth="1" min="4" max="4" width="16.0"/>
  </cols>
  <sheetData>
    <row r="1">
      <c r="A1" s="12" t="s">
        <v>0</v>
      </c>
      <c r="B1" s="1" t="s">
        <v>961</v>
      </c>
      <c r="C1" s="1" t="s">
        <v>962</v>
      </c>
      <c r="D1" s="1" t="s">
        <v>963</v>
      </c>
      <c r="F1" s="13" t="s">
        <v>964</v>
      </c>
      <c r="G1" s="14" t="s">
        <v>965</v>
      </c>
      <c r="H1" s="14" t="s">
        <v>966</v>
      </c>
      <c r="I1" s="15" t="s">
        <v>967</v>
      </c>
      <c r="J1" s="15" t="s">
        <v>968</v>
      </c>
      <c r="K1" s="15" t="s">
        <v>969</v>
      </c>
    </row>
    <row r="2">
      <c r="A2" s="16">
        <v>46090.0</v>
      </c>
      <c r="B2" s="3" t="s">
        <v>13</v>
      </c>
      <c r="C2" s="3" t="s">
        <v>18</v>
      </c>
      <c r="D2" s="3" t="s">
        <v>23</v>
      </c>
      <c r="F2" s="17">
        <f t="shared" ref="F2:H2" si="1">B2/B3-1</f>
        <v>0.001100352113</v>
      </c>
      <c r="G2" s="17">
        <f t="shared" si="1"/>
        <v>0.009399518372</v>
      </c>
      <c r="H2" s="17">
        <f t="shared" si="1"/>
        <v>0.008304129661</v>
      </c>
      <c r="I2" s="18">
        <f t="shared" ref="I2:K2" si="2">LN(B2/B3)</f>
        <v>0.001099747169</v>
      </c>
      <c r="J2" s="18">
        <f t="shared" si="2"/>
        <v>0.009355617781</v>
      </c>
      <c r="K2" s="18">
        <f t="shared" si="2"/>
        <v>0.008269840076</v>
      </c>
    </row>
    <row r="3">
      <c r="A3" s="16">
        <v>46083.0</v>
      </c>
      <c r="B3" s="3" t="s">
        <v>29</v>
      </c>
      <c r="C3" s="3" t="s">
        <v>34</v>
      </c>
      <c r="D3" s="3" t="s">
        <v>39</v>
      </c>
      <c r="F3" s="17">
        <f t="shared" ref="F3:H3" si="3">B3/B4-1</f>
        <v>0.04129958751</v>
      </c>
      <c r="G3" s="17">
        <f t="shared" si="3"/>
        <v>-0.02543720191</v>
      </c>
      <c r="H3" s="17">
        <f t="shared" si="3"/>
        <v>-0.0201864257</v>
      </c>
      <c r="I3" s="18">
        <f t="shared" ref="I3:K3" si="4">LN(B3/B4)</f>
        <v>0.04046953643</v>
      </c>
      <c r="J3" s="18">
        <f t="shared" si="4"/>
        <v>-0.02576632076</v>
      </c>
      <c r="K3" s="18">
        <f t="shared" si="4"/>
        <v>-0.02039295572</v>
      </c>
    </row>
    <row r="4">
      <c r="A4" s="16">
        <v>46076.0</v>
      </c>
      <c r="B4" s="3" t="s">
        <v>45</v>
      </c>
      <c r="C4" s="3" t="s">
        <v>50</v>
      </c>
      <c r="D4" s="3" t="s">
        <v>55</v>
      </c>
      <c r="F4" s="17">
        <f t="shared" ref="F4:H4" si="5">B4/B5-1</f>
        <v>-0.009058108142</v>
      </c>
      <c r="G4" s="17">
        <f t="shared" si="5"/>
        <v>-0.00151183007</v>
      </c>
      <c r="H4" s="17">
        <f t="shared" si="5"/>
        <v>-0.004433020576</v>
      </c>
      <c r="I4" s="18">
        <f t="shared" ref="I4:K4" si="6">LN(B4/B5)</f>
        <v>-0.009099382236</v>
      </c>
      <c r="J4" s="18">
        <f t="shared" si="6"/>
        <v>-0.001512974039</v>
      </c>
      <c r="K4" s="18">
        <f t="shared" si="6"/>
        <v>-0.004442875547</v>
      </c>
    </row>
    <row r="5">
      <c r="A5" s="16">
        <v>46069.0</v>
      </c>
      <c r="B5" s="3" t="s">
        <v>62</v>
      </c>
      <c r="C5" s="3" t="s">
        <v>67</v>
      </c>
      <c r="D5" s="3" t="s">
        <v>72</v>
      </c>
      <c r="F5" s="17">
        <f t="shared" ref="F5:H5" si="7">B5/B6-1</f>
        <v>-0.01018955571</v>
      </c>
      <c r="G5" s="17">
        <f t="shared" si="7"/>
        <v>0.03537606637</v>
      </c>
      <c r="H5" s="17">
        <f t="shared" si="7"/>
        <v>0.0107282294</v>
      </c>
      <c r="I5" s="18">
        <f t="shared" ref="I5:K5" si="8">LN(B5/B6)</f>
        <v>-0.0102418246</v>
      </c>
      <c r="J5" s="18">
        <f t="shared" si="8"/>
        <v>0.03476470987</v>
      </c>
      <c r="K5" s="18">
        <f t="shared" si="8"/>
        <v>0.01067109025</v>
      </c>
    </row>
    <row r="6">
      <c r="A6" s="16">
        <v>46062.0</v>
      </c>
      <c r="B6" s="3" t="s">
        <v>79</v>
      </c>
      <c r="C6" s="3" t="s">
        <v>66</v>
      </c>
      <c r="D6" s="3" t="s">
        <v>89</v>
      </c>
      <c r="F6" s="17">
        <f t="shared" ref="F6:H6" si="9">B6/B7-1</f>
        <v>0.0004497413987</v>
      </c>
      <c r="G6" s="17">
        <f t="shared" si="9"/>
        <v>-0.08032822285</v>
      </c>
      <c r="H6" s="17">
        <f t="shared" si="9"/>
        <v>-0.01386697056</v>
      </c>
      <c r="I6" s="18">
        <f t="shared" ref="I6:K6" si="10">LN(B6/B7)</f>
        <v>0.0004496402953</v>
      </c>
      <c r="J6" s="18">
        <f t="shared" si="10"/>
        <v>-0.08373843656</v>
      </c>
      <c r="K6" s="18">
        <f t="shared" si="10"/>
        <v>-0.01396401518</v>
      </c>
    </row>
    <row r="7">
      <c r="A7" s="16">
        <v>46055.0</v>
      </c>
      <c r="B7" s="3" t="s">
        <v>96</v>
      </c>
      <c r="C7" s="3" t="s">
        <v>102</v>
      </c>
      <c r="D7" s="3" t="s">
        <v>107</v>
      </c>
      <c r="F7" s="17">
        <f t="shared" ref="F7:H7" si="11">B7/B8-1</f>
        <v>-0.06773660059</v>
      </c>
      <c r="G7" s="17">
        <f t="shared" si="11"/>
        <v>0.0718253356</v>
      </c>
      <c r="H7" s="17">
        <f t="shared" si="11"/>
        <v>-0.0009698761931</v>
      </c>
      <c r="I7" s="18">
        <f t="shared" ref="I7:K7" si="12">LN(B7/B8)</f>
        <v>-0.07013988683</v>
      </c>
      <c r="J7" s="18">
        <f t="shared" si="12"/>
        <v>0.06936311616</v>
      </c>
      <c r="K7" s="18">
        <f t="shared" si="12"/>
        <v>-0.0009703468273</v>
      </c>
    </row>
    <row r="8">
      <c r="A8" s="16">
        <v>46048.0</v>
      </c>
      <c r="B8" s="3" t="s">
        <v>114</v>
      </c>
      <c r="C8" s="3" t="s">
        <v>120</v>
      </c>
      <c r="D8" s="3" t="s">
        <v>125</v>
      </c>
      <c r="F8" s="17">
        <f t="shared" ref="F8:H8" si="13">B8/B9-1</f>
        <v>-0.0765342339</v>
      </c>
      <c r="G8" s="17">
        <f t="shared" si="13"/>
        <v>0.04612404665</v>
      </c>
      <c r="H8" s="17">
        <f t="shared" si="13"/>
        <v>0.003386541462</v>
      </c>
      <c r="I8" s="18">
        <f t="shared" ref="I8:K8" si="14">LN(B8/B9)</f>
        <v>-0.07962154977</v>
      </c>
      <c r="J8" s="18">
        <f t="shared" si="14"/>
        <v>0.04509195005</v>
      </c>
      <c r="K8" s="18">
        <f t="shared" si="14"/>
        <v>0.003380820044</v>
      </c>
    </row>
    <row r="9">
      <c r="A9" s="16">
        <v>46041.0</v>
      </c>
      <c r="B9" s="3" t="s">
        <v>132</v>
      </c>
      <c r="C9" s="3" t="s">
        <v>138</v>
      </c>
      <c r="D9" s="3" t="s">
        <v>143</v>
      </c>
      <c r="F9" s="17">
        <f t="shared" ref="F9:H9" si="15">B9/B10-1</f>
        <v>0.01325167281</v>
      </c>
      <c r="G9" s="17">
        <f t="shared" si="15"/>
        <v>-0.02930001175</v>
      </c>
      <c r="H9" s="17">
        <f t="shared" si="15"/>
        <v>-0.003515845078</v>
      </c>
      <c r="I9" s="18">
        <f t="shared" ref="I9:K9" si="16">LN(B9/B10)</f>
        <v>0.01316463746</v>
      </c>
      <c r="J9" s="18">
        <f t="shared" si="16"/>
        <v>-0.02973783037</v>
      </c>
      <c r="K9" s="18">
        <f t="shared" si="16"/>
        <v>-0.003522040186</v>
      </c>
    </row>
    <row r="10">
      <c r="A10" s="16">
        <v>46034.0</v>
      </c>
      <c r="B10" s="3" t="s">
        <v>150</v>
      </c>
      <c r="C10" s="3" t="s">
        <v>156</v>
      </c>
      <c r="D10" s="3" t="s">
        <v>161</v>
      </c>
      <c r="F10" s="17">
        <f t="shared" ref="F10:H10" si="17">B10/B11-1</f>
        <v>-0.04052782367</v>
      </c>
      <c r="G10" s="17">
        <f t="shared" si="17"/>
        <v>-0.01481881681</v>
      </c>
      <c r="H10" s="17">
        <f t="shared" si="17"/>
        <v>-0.003771022698</v>
      </c>
      <c r="I10" s="18">
        <f t="shared" ref="I10:K10" si="18">LN(B10/B11)</f>
        <v>-0.04137196205</v>
      </c>
      <c r="J10" s="18">
        <f t="shared" si="18"/>
        <v>-0.0149297124</v>
      </c>
      <c r="K10" s="18">
        <f t="shared" si="18"/>
        <v>-0.00377815093</v>
      </c>
    </row>
    <row r="11">
      <c r="A11" s="16">
        <v>46027.0</v>
      </c>
      <c r="B11" s="3" t="s">
        <v>168</v>
      </c>
      <c r="C11" s="3" t="s">
        <v>174</v>
      </c>
      <c r="D11" s="3" t="s">
        <v>179</v>
      </c>
      <c r="F11" s="17">
        <f t="shared" ref="F11:H11" si="19">B11/B12-1</f>
        <v>0.01341499597</v>
      </c>
      <c r="G11" s="17">
        <f t="shared" si="19"/>
        <v>-0.04295316886</v>
      </c>
      <c r="H11" s="17">
        <f t="shared" si="19"/>
        <v>0.01571924934</v>
      </c>
      <c r="I11" s="18">
        <f t="shared" ref="I11:K11" si="20">LN(B11/B12)</f>
        <v>0.01332581163</v>
      </c>
      <c r="J11" s="18">
        <f t="shared" si="20"/>
        <v>-0.04390295336</v>
      </c>
      <c r="K11" s="18">
        <f t="shared" si="20"/>
        <v>0.01559698158</v>
      </c>
    </row>
    <row r="12">
      <c r="A12" s="16">
        <v>46020.0</v>
      </c>
      <c r="B12" s="3" t="s">
        <v>186</v>
      </c>
      <c r="C12" s="3" t="s">
        <v>192</v>
      </c>
      <c r="D12" s="3" t="s">
        <v>197</v>
      </c>
      <c r="F12" s="17">
        <f t="shared" ref="F12:H12" si="21">B12/B13-1</f>
        <v>-0.0302918208</v>
      </c>
      <c r="G12" s="17">
        <f t="shared" si="21"/>
        <v>-0.008713480267</v>
      </c>
      <c r="H12" s="17">
        <f t="shared" si="21"/>
        <v>-0.01031322061</v>
      </c>
      <c r="I12" s="18">
        <f t="shared" ref="I12:K12" si="22">LN(B12/B13)</f>
        <v>-0.03076009893</v>
      </c>
      <c r="J12" s="18">
        <f t="shared" si="22"/>
        <v>-0.00875166461</v>
      </c>
      <c r="K12" s="18">
        <f t="shared" si="22"/>
        <v>-0.01036677036</v>
      </c>
    </row>
    <row r="13">
      <c r="A13" s="16">
        <v>46013.0</v>
      </c>
      <c r="B13" s="3" t="s">
        <v>204</v>
      </c>
      <c r="C13" s="3" t="s">
        <v>210</v>
      </c>
      <c r="D13" s="3" t="s">
        <v>215</v>
      </c>
      <c r="F13" s="17">
        <f t="shared" ref="F13:H13" si="23">B13/B14-1</f>
        <v>0.003692168066</v>
      </c>
      <c r="G13" s="17">
        <f t="shared" si="23"/>
        <v>-0.0009875278885</v>
      </c>
      <c r="H13" s="17">
        <f t="shared" si="23"/>
        <v>0.01396444509</v>
      </c>
      <c r="I13" s="18">
        <f t="shared" ref="I13:K13" si="24">LN(B13/B14)</f>
        <v>0.003685368744</v>
      </c>
      <c r="J13" s="18">
        <f t="shared" si="24"/>
        <v>-0.0009880158154</v>
      </c>
      <c r="K13" s="18">
        <f t="shared" si="24"/>
        <v>0.01386784055</v>
      </c>
    </row>
    <row r="14">
      <c r="A14" s="16">
        <v>46006.0</v>
      </c>
      <c r="B14" s="3" t="s">
        <v>222</v>
      </c>
      <c r="C14" s="3" t="s">
        <v>227</v>
      </c>
      <c r="D14" s="3" t="s">
        <v>232</v>
      </c>
      <c r="F14" s="17">
        <f t="shared" ref="F14:H14" si="25">B14/B15-1</f>
        <v>0.01543649464</v>
      </c>
      <c r="G14" s="17">
        <f t="shared" si="25"/>
        <v>-0.0165815409</v>
      </c>
      <c r="H14" s="17">
        <f t="shared" si="25"/>
        <v>0.001038461144</v>
      </c>
      <c r="I14" s="18">
        <f t="shared" ref="I14:K14" si="26">LN(B14/B15)</f>
        <v>0.01531856403</v>
      </c>
      <c r="J14" s="18">
        <f t="shared" si="26"/>
        <v>-0.01672055348</v>
      </c>
      <c r="K14" s="18">
        <f t="shared" si="26"/>
        <v>0.001037922316</v>
      </c>
    </row>
    <row r="15">
      <c r="A15" s="16">
        <v>45999.0</v>
      </c>
      <c r="B15" s="3" t="s">
        <v>239</v>
      </c>
      <c r="C15" s="3" t="s">
        <v>245</v>
      </c>
      <c r="D15" s="3" t="s">
        <v>250</v>
      </c>
      <c r="F15" s="17">
        <f t="shared" ref="F15:H15" si="27">B15/B16-1</f>
        <v>-0.009583869228</v>
      </c>
      <c r="G15" s="17">
        <f t="shared" si="27"/>
        <v>-0.001795203217</v>
      </c>
      <c r="H15" s="17">
        <f t="shared" si="27"/>
        <v>-0.006257277597</v>
      </c>
      <c r="I15" s="18">
        <f t="shared" ref="I15:K15" si="28">LN(B15/B16)</f>
        <v>-0.009630090056</v>
      </c>
      <c r="J15" s="18">
        <f t="shared" si="28"/>
        <v>-0.001796816525</v>
      </c>
      <c r="K15" s="18">
        <f t="shared" si="28"/>
        <v>-0.006276936408</v>
      </c>
    </row>
    <row r="16">
      <c r="A16" s="16">
        <v>45992.0</v>
      </c>
      <c r="B16" s="3" t="s">
        <v>257</v>
      </c>
      <c r="C16" s="3" t="s">
        <v>263</v>
      </c>
      <c r="D16" s="3" t="s">
        <v>268</v>
      </c>
      <c r="F16" s="17">
        <f t="shared" ref="F16:H16" si="29">B16/B17-1</f>
        <v>-0.01798773656</v>
      </c>
      <c r="G16" s="17">
        <f t="shared" si="29"/>
        <v>-0.0002512653003</v>
      </c>
      <c r="H16" s="17">
        <f t="shared" si="29"/>
        <v>0.003111362239</v>
      </c>
      <c r="I16" s="18">
        <f t="shared" ref="I16:K16" si="30">LN(B16/B17)</f>
        <v>-0.01815148248</v>
      </c>
      <c r="J16" s="18">
        <f t="shared" si="30"/>
        <v>-0.0002512968727</v>
      </c>
      <c r="K16" s="18">
        <f t="shared" si="30"/>
        <v>0.003106531968</v>
      </c>
    </row>
    <row r="17">
      <c r="A17" s="16">
        <v>45985.0</v>
      </c>
      <c r="B17" s="3" t="s">
        <v>274</v>
      </c>
      <c r="C17" s="3" t="s">
        <v>279</v>
      </c>
      <c r="D17" s="3" t="s">
        <v>284</v>
      </c>
      <c r="F17" s="17">
        <f t="shared" ref="F17:H17" si="31">B17/B18-1</f>
        <v>0.04409137315</v>
      </c>
      <c r="G17" s="17">
        <f t="shared" si="31"/>
        <v>0.02709777319</v>
      </c>
      <c r="H17" s="17">
        <f t="shared" si="31"/>
        <v>0.0372709939</v>
      </c>
      <c r="I17" s="18">
        <f t="shared" ref="I17:K17" si="32">LN(B17/B18)</f>
        <v>0.0431470078</v>
      </c>
      <c r="J17" s="18">
        <f t="shared" si="32"/>
        <v>0.02673712913</v>
      </c>
      <c r="K17" s="18">
        <f t="shared" si="32"/>
        <v>0.03659321999</v>
      </c>
    </row>
    <row r="18">
      <c r="A18" s="16">
        <v>45978.0</v>
      </c>
      <c r="B18" s="3" t="s">
        <v>184</v>
      </c>
      <c r="C18" s="3" t="s">
        <v>295</v>
      </c>
      <c r="D18" s="3" t="s">
        <v>300</v>
      </c>
      <c r="F18" s="17">
        <f t="shared" ref="F18:H18" si="33">B18/B19-1</f>
        <v>-0.07461570256</v>
      </c>
      <c r="G18" s="17">
        <f t="shared" si="33"/>
        <v>-0.002390672699</v>
      </c>
      <c r="H18" s="17">
        <f t="shared" si="33"/>
        <v>-0.01947102141</v>
      </c>
      <c r="I18" s="18">
        <f t="shared" ref="I18:K18" si="34">LN(B18/B19)</f>
        <v>-0.07754617106</v>
      </c>
      <c r="J18" s="18">
        <f t="shared" si="34"/>
        <v>-0.002393534919</v>
      </c>
      <c r="K18" s="18">
        <f t="shared" si="34"/>
        <v>-0.01966307887</v>
      </c>
    </row>
    <row r="19">
      <c r="A19" s="16">
        <v>45971.0</v>
      </c>
      <c r="B19" s="3" t="s">
        <v>307</v>
      </c>
      <c r="C19" s="3" t="s">
        <v>313</v>
      </c>
      <c r="D19" s="3" t="s">
        <v>318</v>
      </c>
      <c r="F19" s="17">
        <f t="shared" ref="F19:H19" si="35">B19/B20-1</f>
        <v>0.02690193225</v>
      </c>
      <c r="G19" s="17">
        <f t="shared" si="35"/>
        <v>0.01466636811</v>
      </c>
      <c r="H19" s="17">
        <f t="shared" si="35"/>
        <v>0.000789145167</v>
      </c>
      <c r="I19" s="18">
        <f t="shared" ref="I19:K19" si="36">LN(B19/B20)</f>
        <v>0.02654643685</v>
      </c>
      <c r="J19" s="18">
        <f t="shared" si="36"/>
        <v>0.01455985709</v>
      </c>
      <c r="K19" s="18">
        <f t="shared" si="36"/>
        <v>0.0007888339557</v>
      </c>
    </row>
    <row r="20">
      <c r="A20" s="16">
        <v>45964.0</v>
      </c>
      <c r="B20" s="3" t="s">
        <v>325</v>
      </c>
      <c r="C20" s="3" t="s">
        <v>330</v>
      </c>
      <c r="D20" s="3" t="s">
        <v>334</v>
      </c>
      <c r="F20" s="17">
        <f t="shared" ref="F20:H20" si="37">B20/B21-1</f>
        <v>-0.04054918843</v>
      </c>
      <c r="G20" s="17">
        <f t="shared" si="37"/>
        <v>-0.007040687764</v>
      </c>
      <c r="H20" s="17">
        <f t="shared" si="37"/>
        <v>-0.01628607351</v>
      </c>
      <c r="I20" s="18">
        <f t="shared" ref="I20:K20" si="38">LN(B20/B21)</f>
        <v>-0.0413942295</v>
      </c>
      <c r="J20" s="18">
        <f t="shared" si="38"/>
        <v>-0.007065590363</v>
      </c>
      <c r="K20" s="18">
        <f t="shared" si="38"/>
        <v>-0.01642014931</v>
      </c>
    </row>
    <row r="21">
      <c r="A21" s="16">
        <v>45957.0</v>
      </c>
      <c r="B21" s="3" t="s">
        <v>341</v>
      </c>
      <c r="C21" s="3" t="s">
        <v>347</v>
      </c>
      <c r="D21" s="3" t="s">
        <v>352</v>
      </c>
      <c r="F21" s="17">
        <f t="shared" ref="F21:H21" si="39">B21/B22-1</f>
        <v>-0.01106551089</v>
      </c>
      <c r="G21" s="17">
        <f t="shared" si="39"/>
        <v>0.02874351937</v>
      </c>
      <c r="H21" s="17">
        <f t="shared" si="39"/>
        <v>0.007142552148</v>
      </c>
      <c r="I21" s="18">
        <f t="shared" ref="I21:K21" si="40">LN(B21/B22)</f>
        <v>-0.01112718908</v>
      </c>
      <c r="J21" s="18">
        <f t="shared" si="40"/>
        <v>0.02833817347</v>
      </c>
      <c r="K21" s="18">
        <f t="shared" si="40"/>
        <v>0.007117164937</v>
      </c>
    </row>
    <row r="22">
      <c r="A22" s="16">
        <v>45950.0</v>
      </c>
      <c r="B22" s="3" t="s">
        <v>359</v>
      </c>
      <c r="C22" s="3" t="s">
        <v>365</v>
      </c>
      <c r="D22" s="3" t="s">
        <v>370</v>
      </c>
      <c r="F22" s="17">
        <f t="shared" ref="F22:H22" si="41">B22/B23-1</f>
        <v>0.01953270114</v>
      </c>
      <c r="G22" s="17">
        <f t="shared" si="41"/>
        <v>0.0417378182</v>
      </c>
      <c r="H22" s="17">
        <f t="shared" si="41"/>
        <v>0.01915963511</v>
      </c>
      <c r="I22" s="18">
        <f t="shared" ref="I22:K22" si="42">LN(B22/B23)</f>
        <v>0.01934438619</v>
      </c>
      <c r="J22" s="18">
        <f t="shared" si="42"/>
        <v>0.04089029766</v>
      </c>
      <c r="K22" s="18">
        <f t="shared" si="42"/>
        <v>0.01897840057</v>
      </c>
    </row>
    <row r="23">
      <c r="A23" s="16">
        <v>45943.0</v>
      </c>
      <c r="B23" s="3" t="s">
        <v>377</v>
      </c>
      <c r="C23" s="3" t="s">
        <v>383</v>
      </c>
      <c r="D23" s="3" t="s">
        <v>388</v>
      </c>
      <c r="F23" s="17">
        <f t="shared" ref="F23:H23" si="43">B23/B24-1</f>
        <v>0.005129313733</v>
      </c>
      <c r="G23" s="17">
        <f t="shared" si="43"/>
        <v>0.02863562092</v>
      </c>
      <c r="H23" s="17">
        <f t="shared" si="43"/>
        <v>0.01701637998</v>
      </c>
      <c r="I23" s="18">
        <f t="shared" ref="I23:K23" si="44">LN(B23/B24)</f>
        <v>0.005116203615</v>
      </c>
      <c r="J23" s="18">
        <f t="shared" si="44"/>
        <v>0.02823328424</v>
      </c>
      <c r="K23" s="18">
        <f t="shared" si="44"/>
        <v>0.01687322311</v>
      </c>
    </row>
    <row r="24">
      <c r="A24" s="16">
        <v>45936.0</v>
      </c>
      <c r="B24" s="3" t="s">
        <v>395</v>
      </c>
      <c r="C24" s="3" t="s">
        <v>401</v>
      </c>
      <c r="D24" s="3" t="s">
        <v>406</v>
      </c>
      <c r="F24" s="17">
        <f t="shared" ref="F24:H24" si="45">B24/B25-1</f>
        <v>-0.01236389045</v>
      </c>
      <c r="G24" s="17">
        <f t="shared" si="45"/>
        <v>-0.04943113424</v>
      </c>
      <c r="H24" s="17">
        <f t="shared" si="45"/>
        <v>-0.02431285076</v>
      </c>
      <c r="I24" s="18">
        <f t="shared" ref="I24:K24" si="46">LN(B24/B25)</f>
        <v>-0.01244095925</v>
      </c>
      <c r="J24" s="18">
        <f t="shared" si="46"/>
        <v>-0.05069466753</v>
      </c>
      <c r="K24" s="18">
        <f t="shared" si="46"/>
        <v>-0.02461328776</v>
      </c>
    </row>
    <row r="25">
      <c r="A25" s="16">
        <v>45929.0</v>
      </c>
      <c r="B25" s="3" t="s">
        <v>413</v>
      </c>
      <c r="C25" s="3" t="s">
        <v>418</v>
      </c>
      <c r="D25" s="3" t="s">
        <v>423</v>
      </c>
      <c r="F25" s="17">
        <f t="shared" ref="F25:H25" si="47">B25/B26-1</f>
        <v>0.01152471826</v>
      </c>
      <c r="G25" s="17">
        <f t="shared" si="47"/>
        <v>0.01004039691</v>
      </c>
      <c r="H25" s="17">
        <f t="shared" si="47"/>
        <v>0.01085088129</v>
      </c>
      <c r="I25" s="18">
        <f t="shared" ref="I25:K25" si="48">LN(B25/B26)</f>
        <v>0.01145881456</v>
      </c>
      <c r="J25" s="18">
        <f t="shared" si="48"/>
        <v>0.009990326993</v>
      </c>
      <c r="K25" s="18">
        <f t="shared" si="48"/>
        <v>0.0107924329</v>
      </c>
    </row>
    <row r="26">
      <c r="A26" s="16">
        <v>45922.0</v>
      </c>
      <c r="B26" s="3" t="s">
        <v>430</v>
      </c>
      <c r="C26" s="3" t="s">
        <v>436</v>
      </c>
      <c r="D26" s="3" t="s">
        <v>441</v>
      </c>
      <c r="F26" s="17">
        <f t="shared" ref="F26:H26" si="49">B26/B27-1</f>
        <v>-0.01250508928</v>
      </c>
      <c r="G26" s="17">
        <f t="shared" si="49"/>
        <v>0.04056646125</v>
      </c>
      <c r="H26" s="17">
        <f t="shared" si="49"/>
        <v>-0.003100072625</v>
      </c>
      <c r="I26" s="18">
        <f t="shared" ref="I26:K26" si="50">LN(B26/B27)</f>
        <v>-0.01258393592</v>
      </c>
      <c r="J26" s="18">
        <f t="shared" si="50"/>
        <v>0.03976523915</v>
      </c>
      <c r="K26" s="18">
        <f t="shared" si="50"/>
        <v>-0.003104887804</v>
      </c>
    </row>
    <row r="27">
      <c r="A27" s="16">
        <v>45915.0</v>
      </c>
      <c r="B27" s="3" t="s">
        <v>448</v>
      </c>
      <c r="C27" s="3" t="s">
        <v>454</v>
      </c>
      <c r="D27" s="3" t="s">
        <v>459</v>
      </c>
      <c r="F27" s="17">
        <f t="shared" ref="F27:H27" si="51">B27/B28-1</f>
        <v>0.0157545442</v>
      </c>
      <c r="G27" s="17">
        <f t="shared" si="51"/>
        <v>0.04883999658</v>
      </c>
      <c r="H27" s="17">
        <f t="shared" si="51"/>
        <v>0.01216076449</v>
      </c>
      <c r="I27" s="18">
        <f t="shared" ref="I27:K27" si="52">LN(B27/B28)</f>
        <v>0.01563172962</v>
      </c>
      <c r="J27" s="18">
        <f t="shared" si="52"/>
        <v>0.0476847883</v>
      </c>
      <c r="K27" s="18">
        <f t="shared" si="52"/>
        <v>0.01208741644</v>
      </c>
    </row>
    <row r="28">
      <c r="A28" s="16">
        <v>45908.0</v>
      </c>
      <c r="B28" s="3" t="s">
        <v>466</v>
      </c>
      <c r="C28" s="3" t="s">
        <v>472</v>
      </c>
      <c r="D28" s="3" t="s">
        <v>477</v>
      </c>
      <c r="F28" s="17">
        <f t="shared" ref="F28:H28" si="53">B28/B29-1</f>
        <v>0.03010447307</v>
      </c>
      <c r="G28" s="17">
        <f t="shared" si="53"/>
        <v>-0.02345023617</v>
      </c>
      <c r="H28" s="17">
        <f t="shared" si="53"/>
        <v>0.01585898326</v>
      </c>
      <c r="I28" s="18">
        <f t="shared" ref="I28:K28" si="54">LN(B28/B29)</f>
        <v>0.02966022726</v>
      </c>
      <c r="J28" s="18">
        <f t="shared" si="54"/>
        <v>-0.02372956854</v>
      </c>
      <c r="K28" s="18">
        <f t="shared" si="54"/>
        <v>0.01573454352</v>
      </c>
    </row>
    <row r="29">
      <c r="A29" s="16">
        <v>45901.0</v>
      </c>
      <c r="B29" s="3" t="s">
        <v>484</v>
      </c>
      <c r="C29" s="3" t="s">
        <v>490</v>
      </c>
      <c r="D29" s="3" t="s">
        <v>495</v>
      </c>
      <c r="F29" s="17">
        <f t="shared" ref="F29:H29" si="55">B29/B30-1</f>
        <v>-0.02306823362</v>
      </c>
      <c r="G29" s="17">
        <f t="shared" si="55"/>
        <v>0.03249892102</v>
      </c>
      <c r="H29" s="17">
        <f t="shared" si="55"/>
        <v>0.003287793371</v>
      </c>
      <c r="I29" s="18">
        <f t="shared" ref="I29:K29" si="56">LN(B29/B30)</f>
        <v>-0.02333846931</v>
      </c>
      <c r="J29" s="18">
        <f t="shared" si="56"/>
        <v>0.03198200083</v>
      </c>
      <c r="K29" s="18">
        <f t="shared" si="56"/>
        <v>0.003282400395</v>
      </c>
    </row>
    <row r="30">
      <c r="A30" s="16">
        <v>45894.0</v>
      </c>
      <c r="B30" s="3" t="s">
        <v>502</v>
      </c>
      <c r="C30" s="3" t="s">
        <v>508</v>
      </c>
      <c r="D30" s="3" t="s">
        <v>513</v>
      </c>
      <c r="F30" s="17">
        <f t="shared" ref="F30:H30" si="57">B30/B31-1</f>
        <v>0.000575054531</v>
      </c>
      <c r="G30" s="17">
        <f t="shared" si="57"/>
        <v>0.01922315576</v>
      </c>
      <c r="H30" s="17">
        <f t="shared" si="57"/>
        <v>-0.001028311821</v>
      </c>
      <c r="I30" s="18">
        <f t="shared" ref="I30:K30" si="58">LN(B30/B31)</f>
        <v>0.0005748892505</v>
      </c>
      <c r="J30" s="18">
        <f t="shared" si="58"/>
        <v>0.01904072513</v>
      </c>
      <c r="K30" s="18">
        <f t="shared" si="58"/>
        <v>-0.001028840897</v>
      </c>
    </row>
    <row r="31">
      <c r="A31" s="16">
        <v>45887.0</v>
      </c>
      <c r="B31" s="3" t="s">
        <v>520</v>
      </c>
      <c r="C31" s="3" t="s">
        <v>525</v>
      </c>
      <c r="D31" s="3" t="s">
        <v>530</v>
      </c>
      <c r="F31" s="17">
        <f t="shared" ref="F31:H31" si="59">B31/B32-1</f>
        <v>-0.02488543419</v>
      </c>
      <c r="G31" s="17">
        <f t="shared" si="59"/>
        <v>-0.0154185976</v>
      </c>
      <c r="H31" s="17">
        <f t="shared" si="59"/>
        <v>0.002652795436</v>
      </c>
      <c r="I31" s="18">
        <f t="shared" ref="I31:K31" si="60">LN(B31/B32)</f>
        <v>-0.02520031149</v>
      </c>
      <c r="J31" s="18">
        <f t="shared" si="60"/>
        <v>-0.01553870032</v>
      </c>
      <c r="K31" s="18">
        <f t="shared" si="60"/>
        <v>0.002649282984</v>
      </c>
    </row>
    <row r="32">
      <c r="A32" s="16">
        <v>45880.0</v>
      </c>
      <c r="B32" s="3" t="s">
        <v>537</v>
      </c>
      <c r="C32" s="3" t="s">
        <v>543</v>
      </c>
      <c r="D32" s="3" t="s">
        <v>548</v>
      </c>
      <c r="F32" s="17">
        <f t="shared" ref="F32:H32" si="61">B32/B33-1</f>
        <v>-0.003564409849</v>
      </c>
      <c r="G32" s="17">
        <f t="shared" si="61"/>
        <v>0.009796632408</v>
      </c>
      <c r="H32" s="17">
        <f t="shared" si="61"/>
        <v>0.009445257417</v>
      </c>
      <c r="I32" s="18">
        <f t="shared" ref="I32:K32" si="62">LN(B32/B33)</f>
        <v>-0.003570777494</v>
      </c>
      <c r="J32" s="18">
        <f t="shared" si="62"/>
        <v>0.009748956527</v>
      </c>
      <c r="K32" s="18">
        <f t="shared" si="62"/>
        <v>0.009400929877</v>
      </c>
    </row>
    <row r="33">
      <c r="A33" s="16">
        <v>45873.0</v>
      </c>
      <c r="B33" s="3" t="s">
        <v>555</v>
      </c>
      <c r="C33" s="3" t="s">
        <v>561</v>
      </c>
      <c r="D33" s="3" t="s">
        <v>565</v>
      </c>
      <c r="F33" s="17">
        <f t="shared" ref="F33:H33" si="63">B33/B34-1</f>
        <v>-0.003953327704</v>
      </c>
      <c r="G33" s="17">
        <f t="shared" si="63"/>
        <v>0.1332209942</v>
      </c>
      <c r="H33" s="17">
        <f t="shared" si="63"/>
        <v>0.02427697294</v>
      </c>
      <c r="I33" s="18">
        <f t="shared" ref="I33:K33" si="64">LN(B33/B34)</f>
        <v>-0.00396116276</v>
      </c>
      <c r="J33" s="18">
        <f t="shared" si="64"/>
        <v>0.1250640153</v>
      </c>
      <c r="K33" s="18">
        <f t="shared" si="64"/>
        <v>0.02398697144</v>
      </c>
    </row>
    <row r="34">
      <c r="A34" s="16">
        <v>45866.0</v>
      </c>
      <c r="B34" s="3" t="s">
        <v>572</v>
      </c>
      <c r="C34" s="3" t="s">
        <v>578</v>
      </c>
      <c r="D34" s="3" t="s">
        <v>583</v>
      </c>
      <c r="F34" s="17">
        <f t="shared" ref="F34:H34" si="65">B34/B35-1</f>
        <v>0.02024513451</v>
      </c>
      <c r="G34" s="17">
        <f t="shared" si="65"/>
        <v>-0.05374478263</v>
      </c>
      <c r="H34" s="17">
        <f t="shared" si="65"/>
        <v>-0.02357778807</v>
      </c>
      <c r="I34" s="18">
        <f t="shared" ref="I34:K34" si="66">LN(B34/B35)</f>
        <v>0.02004292637</v>
      </c>
      <c r="J34" s="18">
        <f t="shared" si="66"/>
        <v>-0.05524296051</v>
      </c>
      <c r="K34" s="18">
        <f t="shared" si="66"/>
        <v>-0.02386019192</v>
      </c>
    </row>
    <row r="35">
      <c r="A35" s="16">
        <v>45859.0</v>
      </c>
      <c r="B35" s="3" t="s">
        <v>590</v>
      </c>
      <c r="C35" s="3" t="s">
        <v>596</v>
      </c>
      <c r="D35" s="3" t="s">
        <v>601</v>
      </c>
      <c r="F35" s="17">
        <f t="shared" ref="F35:H35" si="67">B35/B36-1</f>
        <v>0.007178071386</v>
      </c>
      <c r="G35" s="17">
        <f t="shared" si="67"/>
        <v>0.01277666952</v>
      </c>
      <c r="H35" s="17">
        <f t="shared" si="67"/>
        <v>0.0145867974</v>
      </c>
      <c r="I35" s="18">
        <f t="shared" ref="I35:K35" si="68">LN(B35/B36)</f>
        <v>0.007152431655</v>
      </c>
      <c r="J35" s="18">
        <f t="shared" si="68"/>
        <v>0.01269573651</v>
      </c>
      <c r="K35" s="18">
        <f t="shared" si="68"/>
        <v>0.01448143345</v>
      </c>
    </row>
    <row r="36">
      <c r="A36" s="16">
        <v>45852.0</v>
      </c>
      <c r="B36" s="3" t="s">
        <v>608</v>
      </c>
      <c r="C36" s="3" t="s">
        <v>614</v>
      </c>
      <c r="D36" s="3" t="s">
        <v>619</v>
      </c>
      <c r="F36" s="17">
        <f t="shared" ref="F36:H36" si="69">B36/B37-1</f>
        <v>0.01336903739</v>
      </c>
      <c r="G36" s="17">
        <f t="shared" si="69"/>
        <v>0.00009500285009</v>
      </c>
      <c r="H36" s="17">
        <f t="shared" si="69"/>
        <v>0.005917169216</v>
      </c>
      <c r="I36" s="18">
        <f t="shared" ref="I36:K36" si="70">LN(B36/B37)</f>
        <v>0.0132804604</v>
      </c>
      <c r="J36" s="18">
        <f t="shared" si="70"/>
        <v>0.0000949983376</v>
      </c>
      <c r="K36" s="18">
        <f t="shared" si="70"/>
        <v>0.005899731524</v>
      </c>
    </row>
    <row r="37">
      <c r="A37" s="16">
        <v>45845.0</v>
      </c>
      <c r="B37" s="3" t="s">
        <v>626</v>
      </c>
      <c r="C37" s="3" t="s">
        <v>632</v>
      </c>
      <c r="D37" s="3" t="s">
        <v>637</v>
      </c>
      <c r="F37" s="17">
        <f t="shared" ref="F37:H37" si="71">B37/B38-1</f>
        <v>0.008972497782</v>
      </c>
      <c r="G37" s="17">
        <f t="shared" si="71"/>
        <v>-0.01117895726</v>
      </c>
      <c r="H37" s="17">
        <f t="shared" si="71"/>
        <v>-0.003121342177</v>
      </c>
      <c r="I37" s="18">
        <f t="shared" ref="I37:K37" si="72">LN(B37/B38)</f>
        <v>0.008932484094</v>
      </c>
      <c r="J37" s="18">
        <f t="shared" si="72"/>
        <v>-0.01124191141</v>
      </c>
      <c r="K37" s="18">
        <f t="shared" si="72"/>
        <v>-0.003126223726</v>
      </c>
    </row>
    <row r="38">
      <c r="A38" s="16">
        <v>45838.0</v>
      </c>
      <c r="B38" s="3" t="s">
        <v>644</v>
      </c>
      <c r="C38" s="3" t="s">
        <v>650</v>
      </c>
      <c r="D38" s="3" t="s">
        <v>655</v>
      </c>
      <c r="F38" s="17">
        <f t="shared" ref="F38:H38" si="73">B38/B39-1</f>
        <v>0.005840837187</v>
      </c>
      <c r="G38" s="17">
        <f t="shared" si="73"/>
        <v>0.06200428992</v>
      </c>
      <c r="H38" s="17">
        <f t="shared" si="73"/>
        <v>0.01721671713</v>
      </c>
      <c r="I38" s="18">
        <f t="shared" ref="I38:K38" si="74">LN(B38/B39)</f>
        <v>0.005823845628</v>
      </c>
      <c r="J38" s="18">
        <f t="shared" si="74"/>
        <v>0.06015796228</v>
      </c>
      <c r="K38" s="18">
        <f t="shared" si="74"/>
        <v>0.01707018889</v>
      </c>
    </row>
    <row r="39">
      <c r="A39" s="16">
        <v>45831.0</v>
      </c>
      <c r="B39" s="3" t="s">
        <v>662</v>
      </c>
      <c r="C39" s="3" t="s">
        <v>668</v>
      </c>
      <c r="D39" s="3" t="s">
        <v>673</v>
      </c>
      <c r="F39" s="17">
        <f t="shared" ref="F39:H39" si="75">B39/B40-1</f>
        <v>0.03885049722</v>
      </c>
      <c r="G39" s="17">
        <f t="shared" si="75"/>
        <v>0.000399221518</v>
      </c>
      <c r="H39" s="17">
        <f t="shared" si="75"/>
        <v>0.03438932679</v>
      </c>
      <c r="I39" s="18">
        <f t="shared" ref="I39:K39" si="76">LN(B39/B40)</f>
        <v>0.03811481073</v>
      </c>
      <c r="J39" s="18">
        <f t="shared" si="76"/>
        <v>0.0003991418503</v>
      </c>
      <c r="K39" s="18">
        <f t="shared" si="76"/>
        <v>0.03381123016</v>
      </c>
    </row>
    <row r="40">
      <c r="A40" s="16">
        <v>45824.0</v>
      </c>
      <c r="B40" s="3" t="s">
        <v>680</v>
      </c>
      <c r="C40" s="3" t="s">
        <v>686</v>
      </c>
      <c r="D40" s="3" t="s">
        <v>691</v>
      </c>
      <c r="F40" s="17">
        <f t="shared" ref="F40:H40" si="77">B40/B41-1</f>
        <v>0.005124729999</v>
      </c>
      <c r="G40" s="17">
        <f t="shared" si="77"/>
        <v>0.02318100587</v>
      </c>
      <c r="H40" s="17">
        <f t="shared" si="77"/>
        <v>-0.001527529835</v>
      </c>
      <c r="I40" s="18">
        <f t="shared" ref="I40:K40" si="78">LN(B40/B41)</f>
        <v>0.005111643262</v>
      </c>
      <c r="J40" s="18">
        <f t="shared" si="78"/>
        <v>0.02291640765</v>
      </c>
      <c r="K40" s="18">
        <f t="shared" si="78"/>
        <v>-0.001528697698</v>
      </c>
    </row>
    <row r="41">
      <c r="A41" s="16">
        <v>45817.0</v>
      </c>
      <c r="B41" s="3" t="s">
        <v>698</v>
      </c>
      <c r="C41" s="3" t="s">
        <v>704</v>
      </c>
      <c r="D41" s="3" t="s">
        <v>709</v>
      </c>
      <c r="F41" s="17">
        <f t="shared" ref="F41:H41" si="79">B41/B42-1</f>
        <v>0.009750673566</v>
      </c>
      <c r="G41" s="17">
        <f t="shared" si="79"/>
        <v>-0.0366453517</v>
      </c>
      <c r="H41" s="17">
        <f t="shared" si="79"/>
        <v>-0.003898099447</v>
      </c>
      <c r="I41" s="18">
        <f t="shared" ref="I41:K41" si="80">LN(B41/B42)</f>
        <v>0.009703442524</v>
      </c>
      <c r="J41" s="18">
        <f t="shared" si="80"/>
        <v>-0.03733366052</v>
      </c>
      <c r="K41" s="18">
        <f t="shared" si="80"/>
        <v>-0.003905716839</v>
      </c>
    </row>
    <row r="42">
      <c r="A42" s="16">
        <v>45810.0</v>
      </c>
      <c r="B42" s="3" t="s">
        <v>716</v>
      </c>
      <c r="C42" s="3" t="s">
        <v>722</v>
      </c>
      <c r="D42" s="3" t="s">
        <v>727</v>
      </c>
      <c r="F42" s="17">
        <f t="shared" ref="F42:H42" si="81">B42/B43-1</f>
        <v>0.02176097881</v>
      </c>
      <c r="G42" s="17">
        <f t="shared" si="81"/>
        <v>0.01528166201</v>
      </c>
      <c r="H42" s="17">
        <f t="shared" si="81"/>
        <v>0.01499909501</v>
      </c>
      <c r="I42" s="18">
        <f t="shared" ref="I42:K42" si="82">LN(B42/B43)</f>
        <v>0.02152758851</v>
      </c>
      <c r="J42" s="18">
        <f t="shared" si="82"/>
        <v>0.01516607351</v>
      </c>
      <c r="K42" s="18">
        <f t="shared" si="82"/>
        <v>0.01488772088</v>
      </c>
    </row>
    <row r="43">
      <c r="A43" s="16">
        <v>45803.0</v>
      </c>
      <c r="B43" s="3" t="s">
        <v>734</v>
      </c>
      <c r="C43" s="3" t="s">
        <v>740</v>
      </c>
      <c r="D43" s="3" t="s">
        <v>745</v>
      </c>
      <c r="F43" s="17">
        <f t="shared" ref="F43:H43" si="83">B43/B44-1</f>
        <v>0.02261048304</v>
      </c>
      <c r="G43" s="17">
        <f t="shared" si="83"/>
        <v>0.02855968769</v>
      </c>
      <c r="H43" s="17">
        <f t="shared" si="83"/>
        <v>0.01876156765</v>
      </c>
      <c r="I43" s="18">
        <f t="shared" ref="I43:K43" si="84">LN(B43/B44)</f>
        <v>0.02235865497</v>
      </c>
      <c r="J43" s="18">
        <f t="shared" si="84"/>
        <v>0.02815946216</v>
      </c>
      <c r="K43" s="18">
        <f t="shared" si="84"/>
        <v>0.01858774026</v>
      </c>
    </row>
    <row r="44">
      <c r="A44" s="16">
        <v>45796.0</v>
      </c>
      <c r="B44" s="3" t="s">
        <v>752</v>
      </c>
      <c r="C44" s="3" t="s">
        <v>758</v>
      </c>
      <c r="D44" s="3" t="s">
        <v>763</v>
      </c>
      <c r="F44" s="17">
        <f t="shared" ref="F44:H44" si="85">B44/B45-1</f>
        <v>-0.007186903864</v>
      </c>
      <c r="G44" s="17">
        <f t="shared" si="85"/>
        <v>-0.07445088904</v>
      </c>
      <c r="H44" s="17">
        <f t="shared" si="85"/>
        <v>-0.02610776755</v>
      </c>
      <c r="I44" s="18">
        <f t="shared" ref="I44:K44" si="86">LN(B44/B45)</f>
        <v>-0.007212854067</v>
      </c>
      <c r="J44" s="18">
        <f t="shared" si="86"/>
        <v>-0.07736808413</v>
      </c>
      <c r="K44" s="18">
        <f t="shared" si="86"/>
        <v>-0.02645462576</v>
      </c>
    </row>
    <row r="45">
      <c r="A45" s="16">
        <v>45789.0</v>
      </c>
      <c r="B45" s="3" t="s">
        <v>770</v>
      </c>
      <c r="C45" s="3" t="s">
        <v>776</v>
      </c>
      <c r="D45" s="3" t="s">
        <v>781</v>
      </c>
      <c r="F45" s="17">
        <f t="shared" ref="F45:H45" si="87">B45/B46-1</f>
        <v>0.03541570969</v>
      </c>
      <c r="G45" s="17">
        <f t="shared" si="87"/>
        <v>0.06409672687</v>
      </c>
      <c r="H45" s="17">
        <f t="shared" si="87"/>
        <v>0.05273405408</v>
      </c>
      <c r="I45" s="18">
        <f t="shared" ref="I45:K45" si="88">LN(B45/B46)</f>
        <v>0.03480299795</v>
      </c>
      <c r="J45" s="18">
        <f t="shared" si="88"/>
        <v>0.0621262955</v>
      </c>
      <c r="K45" s="18">
        <f t="shared" si="88"/>
        <v>0.05139064102</v>
      </c>
    </row>
    <row r="46">
      <c r="A46" s="16">
        <v>45782.0</v>
      </c>
      <c r="B46" s="3" t="s">
        <v>788</v>
      </c>
      <c r="C46" s="3" t="s">
        <v>794</v>
      </c>
      <c r="D46" s="3" t="s">
        <v>799</v>
      </c>
      <c r="F46" s="17">
        <f t="shared" ref="F46:H46" si="89">B46/B47-1</f>
        <v>0.007940366229</v>
      </c>
      <c r="G46" s="17">
        <f t="shared" si="89"/>
        <v>-0.03320942972</v>
      </c>
      <c r="H46" s="17">
        <f t="shared" si="89"/>
        <v>-0.004705741673</v>
      </c>
      <c r="I46" s="18">
        <f t="shared" ref="I46:K46" si="90">LN(B46/B47)</f>
        <v>0.007909007412</v>
      </c>
      <c r="J46" s="18">
        <f t="shared" si="90"/>
        <v>-0.03377338374</v>
      </c>
      <c r="K46" s="18">
        <f t="shared" si="90"/>
        <v>-0.004716848533</v>
      </c>
    </row>
    <row r="47">
      <c r="A47" s="16">
        <v>45775.0</v>
      </c>
      <c r="B47" s="3" t="s">
        <v>806</v>
      </c>
      <c r="C47" s="3" t="s">
        <v>812</v>
      </c>
      <c r="D47" s="3" t="s">
        <v>817</v>
      </c>
      <c r="F47" s="17">
        <f t="shared" ref="F47:H47" si="91">B47/B48-1</f>
        <v>0.1108339548</v>
      </c>
      <c r="G47" s="17">
        <f t="shared" si="91"/>
        <v>-0.01876469741</v>
      </c>
      <c r="H47" s="17">
        <f t="shared" si="91"/>
        <v>0.0292224187</v>
      </c>
      <c r="I47" s="18">
        <f t="shared" ref="I47:K47" si="92">LN(B47/B48)</f>
        <v>0.1051110439</v>
      </c>
      <c r="J47" s="18">
        <f t="shared" si="92"/>
        <v>-0.01894298825</v>
      </c>
      <c r="K47" s="18">
        <f t="shared" si="92"/>
        <v>0.02880358383</v>
      </c>
    </row>
    <row r="48">
      <c r="A48" s="16">
        <v>45768.0</v>
      </c>
      <c r="B48" s="3" t="s">
        <v>824</v>
      </c>
      <c r="C48" s="3" t="s">
        <v>830</v>
      </c>
      <c r="D48" s="3" t="s">
        <v>835</v>
      </c>
      <c r="F48" s="17">
        <f t="shared" ref="F48:H48" si="93">B48/B49-1</f>
        <v>0.06542645004</v>
      </c>
      <c r="G48" s="17">
        <f t="shared" si="93"/>
        <v>0.0624075868</v>
      </c>
      <c r="H48" s="17">
        <f t="shared" si="93"/>
        <v>0.04590644935</v>
      </c>
      <c r="I48" s="18">
        <f t="shared" ref="I48:K48" si="94">LN(B48/B49)</f>
        <v>0.06337514159</v>
      </c>
      <c r="J48" s="18">
        <f t="shared" si="94"/>
        <v>0.06053764091</v>
      </c>
      <c r="K48" s="18">
        <f t="shared" si="94"/>
        <v>0.04488392508</v>
      </c>
    </row>
    <row r="49">
      <c r="A49" s="16">
        <v>45761.0</v>
      </c>
      <c r="B49" s="3" t="s">
        <v>842</v>
      </c>
      <c r="C49" s="3" t="s">
        <v>848</v>
      </c>
      <c r="D49" s="3" t="s">
        <v>853</v>
      </c>
      <c r="F49" s="17">
        <f t="shared" ref="F49:H49" si="95">B49/B50-1</f>
        <v>-0.05320363165</v>
      </c>
      <c r="G49" s="17">
        <f t="shared" si="95"/>
        <v>-0.005879669522</v>
      </c>
      <c r="H49" s="17">
        <f t="shared" si="95"/>
        <v>-0.01503907998</v>
      </c>
      <c r="I49" s="18">
        <f t="shared" ref="I49:K49" si="96">LN(B49/B50)</f>
        <v>-0.05467123706</v>
      </c>
      <c r="J49" s="18">
        <f t="shared" si="96"/>
        <v>-0.005897022833</v>
      </c>
      <c r="K49" s="18">
        <f t="shared" si="96"/>
        <v>-0.0151533137</v>
      </c>
    </row>
    <row r="50">
      <c r="A50" s="16">
        <v>45754.0</v>
      </c>
      <c r="B50" s="3" t="s">
        <v>860</v>
      </c>
      <c r="C50" s="3" t="s">
        <v>866</v>
      </c>
      <c r="D50" s="3" t="s">
        <v>871</v>
      </c>
      <c r="F50" s="17">
        <f t="shared" ref="F50:H50" si="97">B50/B51-1</f>
        <v>0.07949931394</v>
      </c>
      <c r="G50" s="17">
        <f t="shared" si="97"/>
        <v>0.05187673278</v>
      </c>
      <c r="H50" s="17">
        <f t="shared" si="97"/>
        <v>0.05701132028</v>
      </c>
      <c r="I50" s="18">
        <f t="shared" ref="I50:K50" si="98">LN(B50/B51)</f>
        <v>0.07649733543</v>
      </c>
      <c r="J50" s="18">
        <f t="shared" si="98"/>
        <v>0.05057593329</v>
      </c>
      <c r="K50" s="18">
        <f t="shared" si="98"/>
        <v>0.05544541665</v>
      </c>
    </row>
    <row r="51">
      <c r="A51" s="16">
        <v>45747.0</v>
      </c>
      <c r="B51" s="3" t="s">
        <v>878</v>
      </c>
      <c r="C51" s="3" t="s">
        <v>884</v>
      </c>
      <c r="D51" s="3" t="s">
        <v>889</v>
      </c>
      <c r="F51" s="17">
        <f t="shared" ref="F51:H51" si="99">B51/B52-1</f>
        <v>-0.05003724197</v>
      </c>
      <c r="G51" s="17">
        <f t="shared" si="99"/>
        <v>-0.1354690021</v>
      </c>
      <c r="H51" s="17">
        <f t="shared" si="99"/>
        <v>-0.09081982605</v>
      </c>
      <c r="I51" s="18">
        <f t="shared" ref="I51:K51" si="100">LN(B51/B52)</f>
        <v>-0.05133249723</v>
      </c>
      <c r="J51" s="18">
        <f t="shared" si="100"/>
        <v>-0.145568118</v>
      </c>
      <c r="K51" s="18">
        <f t="shared" si="100"/>
        <v>-0.09521199328</v>
      </c>
    </row>
    <row r="52">
      <c r="A52" s="16">
        <v>45740.0</v>
      </c>
      <c r="B52" s="3" t="s">
        <v>896</v>
      </c>
      <c r="C52" s="3" t="s">
        <v>902</v>
      </c>
      <c r="D52" s="3" t="s">
        <v>907</v>
      </c>
      <c r="F52" s="17">
        <f t="shared" ref="F52:H52" si="101">B52/B53-1</f>
        <v>-0.03185763218</v>
      </c>
      <c r="G52" s="17">
        <f t="shared" si="101"/>
        <v>-0.001702558439</v>
      </c>
      <c r="H52" s="17">
        <f t="shared" si="101"/>
        <v>-0.01528347296</v>
      </c>
      <c r="I52" s="18">
        <f t="shared" ref="I52:K52" si="102">LN(B52/B53)</f>
        <v>-0.03237612833</v>
      </c>
      <c r="J52" s="18">
        <f t="shared" si="102"/>
        <v>-0.001704009439</v>
      </c>
      <c r="K52" s="18">
        <f t="shared" si="102"/>
        <v>-0.01540146903</v>
      </c>
    </row>
    <row r="53">
      <c r="A53" s="16">
        <v>45733.0</v>
      </c>
      <c r="B53" s="3" t="s">
        <v>914</v>
      </c>
      <c r="C53" s="3" t="s">
        <v>920</v>
      </c>
      <c r="D53" s="3" t="s">
        <v>925</v>
      </c>
      <c r="F53" s="17">
        <f t="shared" ref="F53:H53" si="103">B53/B54-1</f>
        <v>0.00695002723</v>
      </c>
      <c r="G53" s="17">
        <f t="shared" si="103"/>
        <v>0.02239367708</v>
      </c>
      <c r="H53" s="17">
        <f t="shared" si="103"/>
        <v>0.005075421976</v>
      </c>
      <c r="I53" s="18">
        <f t="shared" ref="I53:K53" si="104">LN(B53/B54)</f>
        <v>0.006925987112</v>
      </c>
      <c r="J53" s="18">
        <f t="shared" si="104"/>
        <v>0.02214662023</v>
      </c>
      <c r="K53" s="18">
        <f t="shared" si="104"/>
        <v>0.005062585438</v>
      </c>
    </row>
    <row r="54">
      <c r="A54" s="16">
        <v>45726.0</v>
      </c>
      <c r="B54" s="3" t="s">
        <v>932</v>
      </c>
      <c r="C54" s="3" t="s">
        <v>938</v>
      </c>
      <c r="D54" s="3" t="s">
        <v>942</v>
      </c>
      <c r="F54" s="19"/>
      <c r="G54" s="19"/>
      <c r="H54" s="19"/>
    </row>
    <row r="55">
      <c r="A55" s="16"/>
      <c r="B55" s="3"/>
      <c r="G55" s="19"/>
      <c r="H55" s="19"/>
    </row>
    <row r="56">
      <c r="A56" s="20"/>
      <c r="G56" s="19"/>
      <c r="H56" s="19"/>
    </row>
    <row r="57">
      <c r="A57" s="21"/>
      <c r="G57" s="19"/>
      <c r="H57" s="19"/>
    </row>
    <row r="58">
      <c r="A58" s="21"/>
      <c r="G58" s="19"/>
      <c r="H58" s="19"/>
    </row>
    <row r="59">
      <c r="A59" s="20"/>
      <c r="G59" s="19"/>
      <c r="H59" s="19"/>
    </row>
    <row r="60">
      <c r="A60" s="20"/>
      <c r="G60" s="19"/>
      <c r="H60" s="19"/>
    </row>
    <row r="61">
      <c r="A61" s="20"/>
      <c r="G61" s="19"/>
      <c r="H61" s="19"/>
    </row>
    <row r="62">
      <c r="A62" s="20"/>
      <c r="G62" s="19"/>
      <c r="H62" s="19"/>
    </row>
    <row r="63">
      <c r="A63" s="22"/>
      <c r="G63" s="19"/>
      <c r="H63" s="19"/>
    </row>
    <row r="64">
      <c r="A64" s="22"/>
      <c r="G64" s="19"/>
      <c r="H64" s="19"/>
    </row>
    <row r="65">
      <c r="A65" s="22"/>
      <c r="G65" s="19"/>
      <c r="H65" s="19"/>
    </row>
    <row r="66">
      <c r="A66" s="22"/>
      <c r="G66" s="19"/>
      <c r="H66" s="19"/>
    </row>
    <row r="67">
      <c r="A67" s="22"/>
      <c r="G67" s="19"/>
      <c r="H67" s="19"/>
    </row>
    <row r="68">
      <c r="A68" s="22"/>
      <c r="G68" s="19"/>
      <c r="H68" s="19"/>
    </row>
    <row r="69">
      <c r="A69" s="22"/>
      <c r="G69" s="19"/>
      <c r="H69" s="19"/>
    </row>
    <row r="70">
      <c r="A70" s="22"/>
      <c r="G70" s="19"/>
      <c r="H70" s="19"/>
    </row>
    <row r="71">
      <c r="A71" s="22"/>
      <c r="G71" s="19"/>
      <c r="H71" s="19"/>
    </row>
    <row r="72">
      <c r="A72" s="22"/>
      <c r="G72" s="19"/>
      <c r="H72" s="19"/>
    </row>
    <row r="73">
      <c r="A73" s="22"/>
      <c r="G73" s="19"/>
      <c r="H73" s="19"/>
    </row>
    <row r="74">
      <c r="A74" s="22"/>
      <c r="G74" s="19"/>
      <c r="H74" s="19"/>
    </row>
    <row r="75">
      <c r="A75" s="22"/>
      <c r="G75" s="19"/>
      <c r="H75" s="19"/>
    </row>
    <row r="76">
      <c r="A76" s="22"/>
      <c r="G76" s="19"/>
      <c r="H76" s="19"/>
    </row>
    <row r="77">
      <c r="A77" s="22"/>
      <c r="G77" s="19"/>
      <c r="H77" s="19"/>
    </row>
    <row r="78">
      <c r="A78" s="22"/>
      <c r="G78" s="19"/>
      <c r="H78" s="19"/>
    </row>
    <row r="79">
      <c r="A79" s="22"/>
      <c r="G79" s="19"/>
      <c r="H79" s="19"/>
    </row>
    <row r="80">
      <c r="A80" s="22"/>
      <c r="G80" s="19"/>
      <c r="H80" s="19"/>
    </row>
    <row r="81">
      <c r="A81" s="22"/>
      <c r="G81" s="19"/>
      <c r="H81" s="19"/>
    </row>
    <row r="82">
      <c r="A82" s="22"/>
      <c r="G82" s="19"/>
      <c r="H82" s="19"/>
    </row>
    <row r="83">
      <c r="A83" s="22"/>
      <c r="G83" s="19"/>
      <c r="H83" s="19"/>
    </row>
    <row r="84">
      <c r="A84" s="22"/>
      <c r="G84" s="19"/>
      <c r="H84" s="19"/>
    </row>
    <row r="85">
      <c r="A85" s="22"/>
      <c r="G85" s="19"/>
      <c r="H85" s="19"/>
    </row>
    <row r="86">
      <c r="A86" s="22"/>
      <c r="G86" s="19"/>
      <c r="H86" s="19"/>
    </row>
    <row r="87">
      <c r="A87" s="22"/>
      <c r="G87" s="19"/>
      <c r="H87" s="19"/>
    </row>
    <row r="88">
      <c r="A88" s="22"/>
      <c r="G88" s="19"/>
      <c r="H88" s="19"/>
    </row>
    <row r="89">
      <c r="A89" s="22"/>
      <c r="G89" s="19"/>
      <c r="H89" s="19"/>
    </row>
    <row r="90">
      <c r="A90" s="22"/>
      <c r="G90" s="19"/>
      <c r="H90" s="19"/>
    </row>
    <row r="91">
      <c r="A91" s="22"/>
      <c r="G91" s="19"/>
      <c r="H91" s="19"/>
    </row>
    <row r="92">
      <c r="A92" s="22"/>
      <c r="G92" s="19"/>
      <c r="H92" s="19"/>
    </row>
    <row r="93">
      <c r="A93" s="22"/>
      <c r="G93" s="19"/>
      <c r="H93" s="19"/>
    </row>
    <row r="94">
      <c r="A94" s="22"/>
      <c r="G94" s="19"/>
      <c r="H94" s="19"/>
    </row>
    <row r="95">
      <c r="A95" s="22"/>
      <c r="G95" s="19"/>
      <c r="H95" s="19"/>
    </row>
    <row r="96">
      <c r="A96" s="22"/>
      <c r="G96" s="19"/>
      <c r="H96" s="19"/>
    </row>
    <row r="97">
      <c r="A97" s="22"/>
      <c r="G97" s="19"/>
      <c r="H97" s="19"/>
    </row>
    <row r="98">
      <c r="A98" s="22"/>
      <c r="G98" s="19"/>
      <c r="H98" s="19"/>
    </row>
    <row r="99">
      <c r="A99" s="22"/>
      <c r="G99" s="19"/>
      <c r="H99" s="19"/>
    </row>
    <row r="100">
      <c r="A100" s="22"/>
      <c r="G100" s="19"/>
      <c r="H100" s="19"/>
    </row>
    <row r="101">
      <c r="A101" s="22"/>
      <c r="G101" s="19"/>
      <c r="H101" s="19"/>
    </row>
    <row r="102">
      <c r="A102" s="22"/>
      <c r="G102" s="19"/>
      <c r="H102" s="19"/>
    </row>
    <row r="103">
      <c r="A103" s="22"/>
      <c r="G103" s="19"/>
      <c r="H103" s="19"/>
    </row>
    <row r="104">
      <c r="A104" s="22"/>
      <c r="G104" s="19"/>
      <c r="H104" s="19"/>
    </row>
    <row r="105">
      <c r="A105" s="22"/>
      <c r="G105" s="19"/>
      <c r="H105" s="19"/>
    </row>
    <row r="106">
      <c r="A106" s="22"/>
      <c r="G106" s="19"/>
      <c r="H106" s="19"/>
    </row>
    <row r="107">
      <c r="A107" s="22"/>
      <c r="G107" s="19"/>
      <c r="H107" s="19"/>
    </row>
    <row r="108">
      <c r="A108" s="22"/>
      <c r="G108" s="19"/>
      <c r="H108" s="19"/>
    </row>
    <row r="109">
      <c r="A109" s="22"/>
      <c r="G109" s="19"/>
      <c r="H109" s="19"/>
    </row>
    <row r="110">
      <c r="A110" s="22"/>
      <c r="G110" s="19"/>
      <c r="H110" s="19"/>
    </row>
    <row r="111">
      <c r="A111" s="22"/>
      <c r="G111" s="19"/>
      <c r="H111" s="19"/>
    </row>
    <row r="112">
      <c r="A112" s="22"/>
      <c r="G112" s="19"/>
      <c r="H112" s="19"/>
    </row>
    <row r="113">
      <c r="A113" s="22"/>
      <c r="G113" s="19"/>
      <c r="H113" s="19"/>
    </row>
    <row r="114">
      <c r="A114" s="22"/>
      <c r="G114" s="19"/>
      <c r="H114" s="19"/>
    </row>
    <row r="115">
      <c r="A115" s="22"/>
      <c r="G115" s="19"/>
      <c r="H115" s="19"/>
    </row>
    <row r="116">
      <c r="A116" s="22"/>
      <c r="G116" s="19"/>
      <c r="H116" s="19"/>
    </row>
    <row r="117">
      <c r="A117" s="22"/>
      <c r="G117" s="19"/>
      <c r="H117" s="19"/>
    </row>
    <row r="118">
      <c r="A118" s="22"/>
      <c r="G118" s="19"/>
      <c r="H118" s="19"/>
    </row>
    <row r="119">
      <c r="A119" s="22"/>
      <c r="G119" s="19"/>
      <c r="H119" s="19"/>
    </row>
    <row r="120">
      <c r="A120" s="22"/>
      <c r="G120" s="19"/>
      <c r="H120" s="19"/>
    </row>
    <row r="121">
      <c r="A121" s="22"/>
      <c r="G121" s="19"/>
      <c r="H121" s="19"/>
    </row>
    <row r="122">
      <c r="A122" s="22"/>
      <c r="G122" s="19"/>
      <c r="H122" s="19"/>
    </row>
    <row r="123">
      <c r="A123" s="22"/>
      <c r="G123" s="19"/>
      <c r="H123" s="19"/>
    </row>
    <row r="124">
      <c r="A124" s="22"/>
      <c r="G124" s="19"/>
      <c r="H124" s="19"/>
    </row>
    <row r="125">
      <c r="A125" s="22"/>
      <c r="G125" s="19"/>
      <c r="H125" s="19"/>
    </row>
    <row r="126">
      <c r="A126" s="22"/>
      <c r="G126" s="19"/>
      <c r="H126" s="19"/>
    </row>
    <row r="127">
      <c r="A127" s="22"/>
      <c r="G127" s="19"/>
      <c r="H127" s="19"/>
    </row>
    <row r="128">
      <c r="A128" s="22"/>
      <c r="G128" s="19"/>
      <c r="H128" s="19"/>
    </row>
    <row r="129">
      <c r="A129" s="22"/>
      <c r="G129" s="19"/>
      <c r="H129" s="19"/>
    </row>
    <row r="130">
      <c r="A130" s="22"/>
      <c r="G130" s="19"/>
      <c r="H130" s="19"/>
    </row>
    <row r="131">
      <c r="A131" s="22"/>
      <c r="G131" s="19"/>
      <c r="H131" s="19"/>
    </row>
    <row r="132">
      <c r="A132" s="22"/>
      <c r="G132" s="19"/>
      <c r="H132" s="19"/>
    </row>
    <row r="133">
      <c r="A133" s="22"/>
      <c r="G133" s="19"/>
      <c r="H133" s="19"/>
    </row>
    <row r="134">
      <c r="A134" s="22"/>
      <c r="G134" s="19"/>
      <c r="H134" s="19"/>
    </row>
    <row r="135">
      <c r="A135" s="22"/>
      <c r="G135" s="19"/>
      <c r="H135" s="19"/>
    </row>
    <row r="136">
      <c r="A136" s="22"/>
      <c r="G136" s="19"/>
      <c r="H136" s="19"/>
    </row>
    <row r="137">
      <c r="A137" s="22"/>
      <c r="G137" s="19"/>
      <c r="H137" s="19"/>
    </row>
    <row r="138">
      <c r="A138" s="22"/>
      <c r="G138" s="19"/>
      <c r="H138" s="19"/>
    </row>
    <row r="139">
      <c r="A139" s="22"/>
      <c r="G139" s="19"/>
      <c r="H139" s="19"/>
    </row>
    <row r="140">
      <c r="A140" s="22"/>
      <c r="G140" s="19"/>
      <c r="H140" s="19"/>
    </row>
    <row r="141">
      <c r="A141" s="22"/>
      <c r="G141" s="19"/>
      <c r="H141" s="19"/>
    </row>
    <row r="142">
      <c r="A142" s="22"/>
      <c r="G142" s="19"/>
      <c r="H142" s="19"/>
    </row>
    <row r="143">
      <c r="A143" s="22"/>
      <c r="G143" s="19"/>
      <c r="H143" s="19"/>
    </row>
    <row r="144">
      <c r="A144" s="22"/>
      <c r="G144" s="19"/>
      <c r="H144" s="19"/>
    </row>
    <row r="145">
      <c r="A145" s="22"/>
      <c r="G145" s="19"/>
      <c r="H145" s="19"/>
    </row>
    <row r="146">
      <c r="A146" s="22"/>
      <c r="G146" s="19"/>
      <c r="H146" s="19"/>
    </row>
    <row r="147">
      <c r="A147" s="22"/>
      <c r="G147" s="19"/>
      <c r="H147" s="19"/>
    </row>
    <row r="148">
      <c r="A148" s="22"/>
      <c r="G148" s="19"/>
      <c r="H148" s="19"/>
    </row>
    <row r="149">
      <c r="A149" s="22"/>
      <c r="G149" s="19"/>
      <c r="H149" s="19"/>
    </row>
    <row r="150">
      <c r="A150" s="22"/>
      <c r="G150" s="19"/>
      <c r="H150" s="19"/>
    </row>
    <row r="151">
      <c r="A151" s="22"/>
      <c r="G151" s="19"/>
      <c r="H151" s="19"/>
    </row>
    <row r="152">
      <c r="A152" s="22"/>
      <c r="G152" s="19"/>
      <c r="H152" s="19"/>
    </row>
    <row r="153">
      <c r="A153" s="22"/>
      <c r="G153" s="19"/>
      <c r="H153" s="19"/>
    </row>
    <row r="154">
      <c r="A154" s="22"/>
      <c r="G154" s="19"/>
      <c r="H154" s="19"/>
    </row>
    <row r="155">
      <c r="A155" s="22"/>
      <c r="G155" s="19"/>
      <c r="H155" s="19"/>
    </row>
    <row r="156">
      <c r="A156" s="22"/>
      <c r="G156" s="19"/>
      <c r="H156" s="19"/>
    </row>
    <row r="157">
      <c r="A157" s="22"/>
      <c r="G157" s="19"/>
      <c r="H157" s="19"/>
    </row>
    <row r="158">
      <c r="A158" s="22"/>
      <c r="G158" s="19"/>
      <c r="H158" s="19"/>
    </row>
    <row r="159">
      <c r="A159" s="22"/>
      <c r="G159" s="19"/>
      <c r="H159" s="19"/>
    </row>
    <row r="160">
      <c r="A160" s="22"/>
      <c r="G160" s="19"/>
      <c r="H160" s="19"/>
    </row>
    <row r="161">
      <c r="A161" s="22"/>
      <c r="G161" s="19"/>
      <c r="H161" s="19"/>
    </row>
    <row r="162">
      <c r="A162" s="22"/>
      <c r="G162" s="19"/>
      <c r="H162" s="19"/>
    </row>
    <row r="163">
      <c r="A163" s="22"/>
      <c r="G163" s="19"/>
      <c r="H163" s="19"/>
    </row>
    <row r="164">
      <c r="A164" s="22"/>
      <c r="G164" s="19"/>
      <c r="H164" s="19"/>
    </row>
    <row r="165">
      <c r="A165" s="22"/>
      <c r="G165" s="19"/>
      <c r="H165" s="19"/>
    </row>
    <row r="166">
      <c r="A166" s="22"/>
      <c r="G166" s="19"/>
      <c r="H166" s="19"/>
    </row>
    <row r="167">
      <c r="A167" s="22"/>
      <c r="G167" s="19"/>
      <c r="H167" s="19"/>
    </row>
    <row r="168">
      <c r="A168" s="22"/>
      <c r="G168" s="19"/>
      <c r="H168" s="19"/>
    </row>
    <row r="169">
      <c r="A169" s="22"/>
      <c r="G169" s="19"/>
      <c r="H169" s="19"/>
    </row>
    <row r="170">
      <c r="A170" s="22"/>
      <c r="G170" s="19"/>
      <c r="H170" s="19"/>
    </row>
    <row r="171">
      <c r="A171" s="22"/>
      <c r="G171" s="19"/>
      <c r="H171" s="19"/>
    </row>
    <row r="172">
      <c r="A172" s="22"/>
      <c r="G172" s="19"/>
      <c r="H172" s="19"/>
    </row>
    <row r="173">
      <c r="A173" s="22"/>
      <c r="G173" s="19"/>
      <c r="H173" s="19"/>
    </row>
    <row r="174">
      <c r="A174" s="22"/>
      <c r="G174" s="19"/>
      <c r="H174" s="19"/>
    </row>
    <row r="175">
      <c r="A175" s="22"/>
      <c r="G175" s="19"/>
      <c r="H175" s="19"/>
    </row>
    <row r="176">
      <c r="A176" s="22"/>
      <c r="G176" s="19"/>
      <c r="H176" s="19"/>
    </row>
    <row r="177">
      <c r="A177" s="22"/>
      <c r="G177" s="19"/>
      <c r="H177" s="19"/>
    </row>
    <row r="178">
      <c r="A178" s="22"/>
      <c r="G178" s="19"/>
      <c r="H178" s="19"/>
    </row>
    <row r="179">
      <c r="A179" s="22"/>
      <c r="G179" s="19"/>
      <c r="H179" s="19"/>
    </row>
    <row r="180">
      <c r="A180" s="22"/>
      <c r="G180" s="19"/>
      <c r="H180" s="19"/>
    </row>
    <row r="181">
      <c r="A181" s="22"/>
      <c r="G181" s="19"/>
      <c r="H181" s="19"/>
    </row>
    <row r="182">
      <c r="A182" s="22"/>
      <c r="G182" s="19"/>
      <c r="H182" s="19"/>
    </row>
    <row r="183">
      <c r="A183" s="22"/>
      <c r="G183" s="19"/>
      <c r="H183" s="19"/>
    </row>
    <row r="184">
      <c r="A184" s="22"/>
      <c r="G184" s="19"/>
      <c r="H184" s="19"/>
    </row>
    <row r="185">
      <c r="A185" s="22"/>
      <c r="G185" s="19"/>
      <c r="H185" s="19"/>
    </row>
    <row r="186">
      <c r="A186" s="22"/>
      <c r="G186" s="19"/>
      <c r="H186" s="19"/>
    </row>
    <row r="187">
      <c r="A187" s="22"/>
      <c r="G187" s="19"/>
      <c r="H187" s="19"/>
    </row>
    <row r="188">
      <c r="A188" s="22"/>
      <c r="G188" s="19"/>
      <c r="H188" s="19"/>
    </row>
    <row r="189">
      <c r="A189" s="22"/>
      <c r="G189" s="19"/>
      <c r="H189" s="19"/>
    </row>
    <row r="190">
      <c r="A190" s="22"/>
      <c r="G190" s="19"/>
      <c r="H190" s="19"/>
    </row>
    <row r="191">
      <c r="A191" s="22"/>
      <c r="G191" s="19"/>
      <c r="H191" s="19"/>
    </row>
    <row r="192">
      <c r="A192" s="22"/>
      <c r="G192" s="19"/>
      <c r="H192" s="19"/>
    </row>
    <row r="193">
      <c r="A193" s="22"/>
      <c r="G193" s="19"/>
      <c r="H193" s="19"/>
    </row>
    <row r="194">
      <c r="A194" s="22"/>
      <c r="G194" s="19"/>
      <c r="H194" s="19"/>
    </row>
    <row r="195">
      <c r="A195" s="22"/>
      <c r="G195" s="19"/>
      <c r="H195" s="19"/>
    </row>
    <row r="196">
      <c r="A196" s="22"/>
      <c r="G196" s="19"/>
      <c r="H196" s="19"/>
    </row>
    <row r="197">
      <c r="A197" s="22"/>
      <c r="G197" s="19"/>
      <c r="H197" s="19"/>
    </row>
    <row r="198">
      <c r="A198" s="22"/>
      <c r="G198" s="19"/>
      <c r="H198" s="19"/>
    </row>
    <row r="199">
      <c r="A199" s="22"/>
      <c r="G199" s="19"/>
      <c r="H199" s="19"/>
    </row>
    <row r="200">
      <c r="A200" s="22"/>
      <c r="G200" s="19"/>
      <c r="H200" s="19"/>
    </row>
    <row r="201">
      <c r="A201" s="22"/>
      <c r="G201" s="19"/>
      <c r="H201" s="19"/>
    </row>
    <row r="202">
      <c r="A202" s="22"/>
      <c r="G202" s="19"/>
      <c r="H202" s="19"/>
    </row>
    <row r="203">
      <c r="A203" s="22"/>
      <c r="G203" s="19"/>
      <c r="H203" s="19"/>
    </row>
    <row r="204">
      <c r="A204" s="22"/>
      <c r="G204" s="19"/>
      <c r="H204" s="19"/>
    </row>
    <row r="205">
      <c r="A205" s="22"/>
      <c r="G205" s="19"/>
      <c r="H205" s="19"/>
    </row>
    <row r="206">
      <c r="A206" s="22"/>
      <c r="G206" s="19"/>
      <c r="H206" s="19"/>
    </row>
    <row r="207">
      <c r="A207" s="22"/>
      <c r="G207" s="19"/>
      <c r="H207" s="19"/>
    </row>
    <row r="208">
      <c r="A208" s="22"/>
      <c r="G208" s="19"/>
      <c r="H208" s="19"/>
    </row>
    <row r="209">
      <c r="A209" s="22"/>
      <c r="G209" s="19"/>
      <c r="H209" s="19"/>
    </row>
    <row r="210">
      <c r="A210" s="22"/>
      <c r="G210" s="19"/>
      <c r="H210" s="19"/>
    </row>
    <row r="211">
      <c r="A211" s="22"/>
      <c r="G211" s="19"/>
      <c r="H211" s="19"/>
    </row>
    <row r="212">
      <c r="A212" s="22"/>
      <c r="G212" s="19"/>
      <c r="H212" s="19"/>
    </row>
    <row r="213">
      <c r="A213" s="22"/>
      <c r="G213" s="19"/>
      <c r="H213" s="19"/>
    </row>
    <row r="214">
      <c r="A214" s="22"/>
      <c r="G214" s="19"/>
      <c r="H214" s="19"/>
    </row>
    <row r="215">
      <c r="A215" s="22"/>
      <c r="G215" s="19"/>
      <c r="H215" s="19"/>
    </row>
    <row r="216">
      <c r="A216" s="22"/>
      <c r="G216" s="19"/>
      <c r="H216" s="19"/>
    </row>
    <row r="217">
      <c r="A217" s="22"/>
      <c r="G217" s="19"/>
      <c r="H217" s="19"/>
    </row>
    <row r="218">
      <c r="A218" s="22"/>
      <c r="G218" s="19"/>
      <c r="H218" s="19"/>
    </row>
    <row r="219">
      <c r="A219" s="22"/>
      <c r="G219" s="19"/>
      <c r="H219" s="19"/>
    </row>
    <row r="220">
      <c r="A220" s="22"/>
      <c r="G220" s="19"/>
      <c r="H220" s="19"/>
    </row>
    <row r="221">
      <c r="A221" s="22"/>
      <c r="G221" s="19"/>
      <c r="H221" s="19"/>
    </row>
    <row r="222">
      <c r="A222" s="22"/>
      <c r="G222" s="19"/>
      <c r="H222" s="19"/>
    </row>
    <row r="223">
      <c r="A223" s="22"/>
      <c r="G223" s="19"/>
      <c r="H223" s="19"/>
    </row>
    <row r="224">
      <c r="A224" s="22"/>
      <c r="G224" s="19"/>
      <c r="H224" s="19"/>
    </row>
    <row r="225">
      <c r="A225" s="22"/>
      <c r="G225" s="19"/>
      <c r="H225" s="19"/>
    </row>
    <row r="226">
      <c r="A226" s="22"/>
      <c r="G226" s="19"/>
      <c r="H226" s="19"/>
    </row>
    <row r="227">
      <c r="A227" s="22"/>
      <c r="G227" s="19"/>
      <c r="H227" s="19"/>
    </row>
    <row r="228">
      <c r="A228" s="22"/>
      <c r="G228" s="19"/>
      <c r="H228" s="19"/>
    </row>
    <row r="229">
      <c r="A229" s="22"/>
      <c r="G229" s="19"/>
      <c r="H229" s="19"/>
    </row>
    <row r="230">
      <c r="A230" s="22"/>
      <c r="G230" s="19"/>
      <c r="H230" s="19"/>
    </row>
    <row r="231">
      <c r="A231" s="22"/>
      <c r="G231" s="19"/>
      <c r="H231" s="19"/>
    </row>
    <row r="232">
      <c r="A232" s="22"/>
      <c r="G232" s="19"/>
      <c r="H232" s="19"/>
    </row>
    <row r="233">
      <c r="A233" s="22"/>
      <c r="G233" s="19"/>
      <c r="H233" s="19"/>
    </row>
    <row r="234">
      <c r="A234" s="22"/>
      <c r="G234" s="19"/>
      <c r="H234" s="19"/>
    </row>
    <row r="235">
      <c r="A235" s="22"/>
      <c r="G235" s="19"/>
      <c r="H235" s="19"/>
    </row>
    <row r="236">
      <c r="A236" s="22"/>
      <c r="G236" s="19"/>
      <c r="H236" s="19"/>
    </row>
    <row r="237">
      <c r="A237" s="22"/>
      <c r="G237" s="19"/>
      <c r="H237" s="19"/>
    </row>
    <row r="238">
      <c r="A238" s="22"/>
      <c r="G238" s="19"/>
      <c r="H238" s="19"/>
    </row>
    <row r="239">
      <c r="A239" s="22"/>
      <c r="G239" s="19"/>
      <c r="H239" s="19"/>
    </row>
    <row r="240">
      <c r="A240" s="22"/>
      <c r="G240" s="19"/>
      <c r="H240" s="19"/>
    </row>
    <row r="241">
      <c r="A241" s="22"/>
      <c r="G241" s="19"/>
      <c r="H241" s="19"/>
    </row>
    <row r="242">
      <c r="A242" s="22"/>
      <c r="G242" s="19"/>
      <c r="H242" s="19"/>
    </row>
    <row r="243">
      <c r="A243" s="22"/>
      <c r="G243" s="19"/>
      <c r="H243" s="19"/>
    </row>
    <row r="244">
      <c r="A244" s="22"/>
      <c r="G244" s="19"/>
      <c r="H244" s="19"/>
    </row>
    <row r="245">
      <c r="A245" s="22"/>
      <c r="G245" s="19"/>
      <c r="H245" s="19"/>
    </row>
    <row r="246">
      <c r="A246" s="22"/>
      <c r="G246" s="19"/>
      <c r="H246" s="19"/>
    </row>
    <row r="247">
      <c r="A247" s="22"/>
      <c r="G247" s="19"/>
      <c r="H247" s="19"/>
    </row>
    <row r="248">
      <c r="A248" s="22"/>
      <c r="G248" s="19"/>
      <c r="H248" s="19"/>
    </row>
    <row r="249">
      <c r="A249" s="22"/>
      <c r="G249" s="19"/>
      <c r="H249" s="19"/>
    </row>
    <row r="250">
      <c r="A250" s="22"/>
      <c r="G250" s="19"/>
      <c r="H250" s="19"/>
    </row>
    <row r="251">
      <c r="A251" s="22"/>
      <c r="G251" s="19"/>
      <c r="H251" s="19"/>
    </row>
    <row r="252">
      <c r="A252" s="22"/>
      <c r="G252" s="19"/>
      <c r="H252" s="19"/>
    </row>
    <row r="253">
      <c r="A253" s="22"/>
      <c r="G253" s="19"/>
      <c r="H253" s="19"/>
    </row>
    <row r="254">
      <c r="A254" s="22"/>
      <c r="G254" s="19"/>
      <c r="H254" s="19"/>
    </row>
    <row r="255">
      <c r="A255" s="22"/>
      <c r="G255" s="19"/>
      <c r="H255" s="19"/>
    </row>
    <row r="256">
      <c r="A256" s="22"/>
      <c r="G256" s="19"/>
      <c r="H256" s="19"/>
    </row>
    <row r="257">
      <c r="A257" s="22"/>
      <c r="G257" s="19"/>
      <c r="H257" s="19"/>
    </row>
    <row r="258">
      <c r="A258" s="22"/>
      <c r="G258" s="19"/>
      <c r="H258" s="19"/>
    </row>
    <row r="259">
      <c r="A259" s="22"/>
      <c r="G259" s="19"/>
      <c r="H259" s="19"/>
    </row>
    <row r="260">
      <c r="A260" s="22"/>
      <c r="G260" s="19"/>
      <c r="H260" s="19"/>
    </row>
    <row r="261">
      <c r="A261" s="22"/>
      <c r="G261" s="19"/>
      <c r="H261" s="19"/>
    </row>
    <row r="262">
      <c r="A262" s="22"/>
      <c r="G262" s="19"/>
      <c r="H262" s="19"/>
    </row>
    <row r="263">
      <c r="A263" s="22"/>
      <c r="G263" s="19"/>
      <c r="H263" s="19"/>
    </row>
    <row r="264">
      <c r="A264" s="22"/>
      <c r="G264" s="19"/>
      <c r="H264" s="19"/>
    </row>
    <row r="265">
      <c r="A265" s="22"/>
      <c r="G265" s="19"/>
      <c r="H265" s="19"/>
    </row>
    <row r="266">
      <c r="A266" s="22"/>
      <c r="G266" s="19"/>
      <c r="H266" s="19"/>
    </row>
    <row r="267">
      <c r="A267" s="22"/>
      <c r="G267" s="19"/>
      <c r="H267" s="19"/>
    </row>
    <row r="268">
      <c r="A268" s="22"/>
      <c r="G268" s="19"/>
      <c r="H268" s="19"/>
    </row>
    <row r="269">
      <c r="A269" s="22"/>
      <c r="G269" s="19"/>
      <c r="H269" s="19"/>
    </row>
    <row r="270">
      <c r="A270" s="22"/>
      <c r="G270" s="19"/>
      <c r="H270" s="19"/>
    </row>
    <row r="271">
      <c r="A271" s="22"/>
      <c r="G271" s="19"/>
      <c r="H271" s="19"/>
    </row>
    <row r="272">
      <c r="A272" s="22"/>
      <c r="G272" s="19"/>
      <c r="H272" s="19"/>
    </row>
    <row r="273">
      <c r="A273" s="22"/>
      <c r="G273" s="19"/>
      <c r="H273" s="19"/>
    </row>
    <row r="274">
      <c r="A274" s="22"/>
      <c r="G274" s="19"/>
      <c r="H274" s="19"/>
    </row>
    <row r="275">
      <c r="A275" s="22"/>
      <c r="G275" s="19"/>
      <c r="H275" s="19"/>
    </row>
    <row r="276">
      <c r="A276" s="22"/>
      <c r="G276" s="19"/>
      <c r="H276" s="19"/>
    </row>
    <row r="277">
      <c r="A277" s="22"/>
      <c r="G277" s="19"/>
      <c r="H277" s="19"/>
    </row>
    <row r="278">
      <c r="A278" s="22"/>
      <c r="G278" s="19"/>
      <c r="H278" s="19"/>
    </row>
    <row r="279">
      <c r="A279" s="22"/>
      <c r="G279" s="19"/>
      <c r="H279" s="19"/>
    </row>
    <row r="280">
      <c r="A280" s="22"/>
      <c r="G280" s="19"/>
      <c r="H280" s="19"/>
    </row>
    <row r="281">
      <c r="A281" s="22"/>
      <c r="G281" s="19"/>
      <c r="H281" s="19"/>
    </row>
    <row r="282">
      <c r="A282" s="22"/>
      <c r="G282" s="19"/>
      <c r="H282" s="19"/>
    </row>
    <row r="283">
      <c r="A283" s="22"/>
      <c r="G283" s="19"/>
      <c r="H283" s="19"/>
    </row>
    <row r="284">
      <c r="A284" s="22"/>
      <c r="G284" s="19"/>
      <c r="H284" s="19"/>
    </row>
    <row r="285">
      <c r="A285" s="22"/>
      <c r="G285" s="19"/>
      <c r="H285" s="19"/>
    </row>
    <row r="286">
      <c r="A286" s="22"/>
      <c r="G286" s="19"/>
      <c r="H286" s="19"/>
    </row>
    <row r="287">
      <c r="A287" s="22"/>
      <c r="G287" s="19"/>
      <c r="H287" s="19"/>
    </row>
    <row r="288">
      <c r="A288" s="22"/>
      <c r="G288" s="19"/>
      <c r="H288" s="19"/>
    </row>
    <row r="289">
      <c r="A289" s="22"/>
      <c r="G289" s="19"/>
      <c r="H289" s="19"/>
    </row>
    <row r="290">
      <c r="A290" s="22"/>
      <c r="G290" s="19"/>
      <c r="H290" s="19"/>
    </row>
    <row r="291">
      <c r="A291" s="22"/>
      <c r="G291" s="19"/>
      <c r="H291" s="19"/>
    </row>
    <row r="292">
      <c r="A292" s="22"/>
      <c r="G292" s="19"/>
      <c r="H292" s="19"/>
    </row>
    <row r="293">
      <c r="A293" s="22"/>
      <c r="G293" s="19"/>
      <c r="H293" s="19"/>
    </row>
    <row r="294">
      <c r="A294" s="22"/>
      <c r="G294" s="19"/>
      <c r="H294" s="19"/>
    </row>
    <row r="295">
      <c r="A295" s="22"/>
      <c r="G295" s="19"/>
      <c r="H295" s="19"/>
    </row>
    <row r="296">
      <c r="A296" s="22"/>
      <c r="G296" s="19"/>
      <c r="H296" s="19"/>
    </row>
    <row r="297">
      <c r="A297" s="22"/>
      <c r="G297" s="19"/>
      <c r="H297" s="19"/>
    </row>
    <row r="298">
      <c r="A298" s="22"/>
      <c r="G298" s="19"/>
      <c r="H298" s="19"/>
    </row>
    <row r="299">
      <c r="A299" s="22"/>
      <c r="G299" s="19"/>
      <c r="H299" s="19"/>
    </row>
    <row r="300">
      <c r="A300" s="22"/>
      <c r="G300" s="19"/>
      <c r="H300" s="19"/>
    </row>
    <row r="301">
      <c r="A301" s="22"/>
      <c r="G301" s="19"/>
      <c r="H301" s="19"/>
    </row>
    <row r="302">
      <c r="A302" s="22"/>
      <c r="G302" s="19"/>
      <c r="H302" s="19"/>
    </row>
    <row r="303">
      <c r="A303" s="22"/>
      <c r="G303" s="19"/>
      <c r="H303" s="19"/>
    </row>
    <row r="304">
      <c r="A304" s="22"/>
      <c r="G304" s="19"/>
      <c r="H304" s="19"/>
    </row>
    <row r="305">
      <c r="A305" s="22"/>
      <c r="G305" s="19"/>
      <c r="H305" s="19"/>
    </row>
    <row r="306">
      <c r="A306" s="22"/>
      <c r="G306" s="19"/>
      <c r="H306" s="19"/>
    </row>
    <row r="307">
      <c r="A307" s="22"/>
      <c r="G307" s="19"/>
      <c r="H307" s="19"/>
    </row>
    <row r="308">
      <c r="A308" s="22"/>
      <c r="G308" s="19"/>
      <c r="H308" s="19"/>
    </row>
    <row r="309">
      <c r="A309" s="22"/>
      <c r="G309" s="19"/>
      <c r="H309" s="19"/>
    </row>
    <row r="310">
      <c r="A310" s="22"/>
      <c r="G310" s="19"/>
      <c r="H310" s="19"/>
    </row>
    <row r="311">
      <c r="A311" s="22"/>
      <c r="G311" s="19"/>
      <c r="H311" s="19"/>
    </row>
    <row r="312">
      <c r="A312" s="22"/>
      <c r="G312" s="19"/>
      <c r="H312" s="19"/>
    </row>
    <row r="313">
      <c r="A313" s="22"/>
      <c r="G313" s="19"/>
      <c r="H313" s="19"/>
    </row>
    <row r="314">
      <c r="A314" s="22"/>
      <c r="G314" s="19"/>
      <c r="H314" s="19"/>
    </row>
    <row r="315">
      <c r="A315" s="22"/>
      <c r="G315" s="19"/>
      <c r="H315" s="19"/>
    </row>
    <row r="316">
      <c r="A316" s="22"/>
      <c r="G316" s="19"/>
      <c r="H316" s="19"/>
    </row>
    <row r="317">
      <c r="A317" s="22"/>
      <c r="G317" s="19"/>
      <c r="H317" s="19"/>
    </row>
    <row r="318">
      <c r="A318" s="22"/>
      <c r="G318" s="19"/>
      <c r="H318" s="19"/>
    </row>
    <row r="319">
      <c r="A319" s="22"/>
      <c r="G319" s="19"/>
      <c r="H319" s="19"/>
    </row>
    <row r="320">
      <c r="A320" s="22"/>
      <c r="G320" s="19"/>
      <c r="H320" s="19"/>
    </row>
    <row r="321">
      <c r="A321" s="22"/>
      <c r="G321" s="19"/>
      <c r="H321" s="19"/>
    </row>
    <row r="322">
      <c r="A322" s="22"/>
      <c r="G322" s="19"/>
      <c r="H322" s="19"/>
    </row>
    <row r="323">
      <c r="A323" s="22"/>
      <c r="G323" s="19"/>
      <c r="H323" s="19"/>
    </row>
    <row r="324">
      <c r="A324" s="22"/>
      <c r="G324" s="19"/>
      <c r="H324" s="19"/>
    </row>
    <row r="325">
      <c r="A325" s="22"/>
      <c r="G325" s="19"/>
      <c r="H325" s="19"/>
    </row>
    <row r="326">
      <c r="A326" s="22"/>
      <c r="G326" s="19"/>
      <c r="H326" s="19"/>
    </row>
    <row r="327">
      <c r="A327" s="22"/>
      <c r="G327" s="19"/>
      <c r="H327" s="19"/>
    </row>
    <row r="328">
      <c r="A328" s="22"/>
      <c r="G328" s="19"/>
      <c r="H328" s="19"/>
    </row>
    <row r="329">
      <c r="A329" s="22"/>
      <c r="G329" s="19"/>
      <c r="H329" s="19"/>
    </row>
    <row r="330">
      <c r="A330" s="22"/>
      <c r="G330" s="19"/>
      <c r="H330" s="19"/>
    </row>
    <row r="331">
      <c r="A331" s="22"/>
      <c r="G331" s="19"/>
      <c r="H331" s="19"/>
    </row>
    <row r="332">
      <c r="A332" s="22"/>
      <c r="G332" s="19"/>
      <c r="H332" s="19"/>
    </row>
    <row r="333">
      <c r="A333" s="22"/>
      <c r="G333" s="19"/>
      <c r="H333" s="19"/>
    </row>
    <row r="334">
      <c r="A334" s="22"/>
      <c r="G334" s="19"/>
      <c r="H334" s="19"/>
    </row>
    <row r="335">
      <c r="A335" s="22"/>
      <c r="G335" s="19"/>
      <c r="H335" s="19"/>
    </row>
    <row r="336">
      <c r="A336" s="22"/>
      <c r="G336" s="19"/>
      <c r="H336" s="19"/>
    </row>
    <row r="337">
      <c r="A337" s="22"/>
      <c r="G337" s="19"/>
      <c r="H337" s="19"/>
    </row>
    <row r="338">
      <c r="A338" s="22"/>
      <c r="G338" s="19"/>
      <c r="H338" s="19"/>
    </row>
    <row r="339">
      <c r="A339" s="22"/>
      <c r="G339" s="19"/>
      <c r="H339" s="19"/>
    </row>
    <row r="340">
      <c r="A340" s="22"/>
      <c r="G340" s="19"/>
      <c r="H340" s="19"/>
    </row>
    <row r="341">
      <c r="A341" s="22"/>
      <c r="G341" s="19"/>
      <c r="H341" s="19"/>
    </row>
    <row r="342">
      <c r="A342" s="22"/>
      <c r="G342" s="19"/>
      <c r="H342" s="19"/>
    </row>
    <row r="343">
      <c r="A343" s="22"/>
      <c r="G343" s="19"/>
      <c r="H343" s="19"/>
    </row>
    <row r="344">
      <c r="A344" s="22"/>
      <c r="G344" s="19"/>
      <c r="H344" s="19"/>
    </row>
    <row r="345">
      <c r="A345" s="22"/>
      <c r="G345" s="19"/>
      <c r="H345" s="19"/>
    </row>
    <row r="346">
      <c r="A346" s="22"/>
      <c r="G346" s="19"/>
      <c r="H346" s="19"/>
    </row>
    <row r="347">
      <c r="A347" s="22"/>
      <c r="G347" s="19"/>
      <c r="H347" s="19"/>
    </row>
    <row r="348">
      <c r="A348" s="22"/>
      <c r="G348" s="19"/>
      <c r="H348" s="19"/>
    </row>
    <row r="349">
      <c r="A349" s="22"/>
      <c r="G349" s="19"/>
      <c r="H349" s="19"/>
    </row>
    <row r="350">
      <c r="A350" s="22"/>
      <c r="G350" s="19"/>
      <c r="H350" s="19"/>
    </row>
    <row r="351">
      <c r="A351" s="22"/>
      <c r="G351" s="19"/>
      <c r="H351" s="19"/>
    </row>
    <row r="352">
      <c r="A352" s="22"/>
      <c r="G352" s="19"/>
      <c r="H352" s="19"/>
    </row>
    <row r="353">
      <c r="A353" s="22"/>
      <c r="G353" s="19"/>
      <c r="H353" s="19"/>
    </row>
    <row r="354">
      <c r="A354" s="22"/>
      <c r="G354" s="19"/>
      <c r="H354" s="19"/>
    </row>
    <row r="355">
      <c r="A355" s="22"/>
      <c r="G355" s="19"/>
      <c r="H355" s="19"/>
    </row>
    <row r="356">
      <c r="A356" s="22"/>
      <c r="G356" s="19"/>
      <c r="H356" s="19"/>
    </row>
    <row r="357">
      <c r="A357" s="22"/>
      <c r="G357" s="19"/>
      <c r="H357" s="19"/>
    </row>
    <row r="358">
      <c r="A358" s="22"/>
      <c r="G358" s="19"/>
      <c r="H358" s="19"/>
    </row>
    <row r="359">
      <c r="A359" s="22"/>
      <c r="G359" s="19"/>
      <c r="H359" s="19"/>
    </row>
    <row r="360">
      <c r="A360" s="22"/>
      <c r="G360" s="19"/>
      <c r="H360" s="19"/>
    </row>
    <row r="361">
      <c r="A361" s="22"/>
      <c r="G361" s="19"/>
      <c r="H361" s="19"/>
    </row>
    <row r="362">
      <c r="A362" s="22"/>
      <c r="G362" s="19"/>
      <c r="H362" s="19"/>
    </row>
    <row r="363">
      <c r="A363" s="22"/>
      <c r="G363" s="19"/>
      <c r="H363" s="19"/>
    </row>
    <row r="364">
      <c r="A364" s="22"/>
      <c r="G364" s="19"/>
      <c r="H364" s="19"/>
    </row>
    <row r="365">
      <c r="A365" s="22"/>
      <c r="G365" s="19"/>
      <c r="H365" s="19"/>
    </row>
    <row r="366">
      <c r="A366" s="22"/>
      <c r="G366" s="19"/>
      <c r="H366" s="19"/>
    </row>
    <row r="367">
      <c r="A367" s="22"/>
      <c r="G367" s="19"/>
      <c r="H367" s="19"/>
    </row>
    <row r="368">
      <c r="A368" s="22"/>
      <c r="G368" s="19"/>
      <c r="H368" s="19"/>
    </row>
    <row r="369">
      <c r="A369" s="22"/>
      <c r="G369" s="19"/>
      <c r="H369" s="19"/>
    </row>
    <row r="370">
      <c r="A370" s="22"/>
      <c r="G370" s="19"/>
      <c r="H370" s="19"/>
    </row>
    <row r="371">
      <c r="A371" s="22"/>
      <c r="G371" s="19"/>
      <c r="H371" s="19"/>
    </row>
    <row r="372">
      <c r="A372" s="22"/>
      <c r="G372" s="19"/>
      <c r="H372" s="19"/>
    </row>
    <row r="373">
      <c r="A373" s="22"/>
      <c r="G373" s="19"/>
      <c r="H373" s="19"/>
    </row>
    <row r="374">
      <c r="A374" s="22"/>
      <c r="G374" s="19"/>
      <c r="H374" s="19"/>
    </row>
    <row r="375">
      <c r="A375" s="22"/>
      <c r="G375" s="19"/>
      <c r="H375" s="19"/>
    </row>
    <row r="376">
      <c r="A376" s="22"/>
      <c r="G376" s="19"/>
      <c r="H376" s="19"/>
    </row>
    <row r="377">
      <c r="A377" s="22"/>
      <c r="G377" s="19"/>
      <c r="H377" s="19"/>
    </row>
    <row r="378">
      <c r="A378" s="22"/>
      <c r="G378" s="19"/>
      <c r="H378" s="19"/>
    </row>
    <row r="379">
      <c r="A379" s="22"/>
      <c r="G379" s="19"/>
      <c r="H379" s="19"/>
    </row>
    <row r="380">
      <c r="A380" s="22"/>
      <c r="G380" s="19"/>
      <c r="H380" s="19"/>
    </row>
    <row r="381">
      <c r="A381" s="22"/>
      <c r="G381" s="19"/>
      <c r="H381" s="19"/>
    </row>
    <row r="382">
      <c r="A382" s="22"/>
      <c r="G382" s="19"/>
      <c r="H382" s="19"/>
    </row>
    <row r="383">
      <c r="A383" s="22"/>
      <c r="G383" s="19"/>
      <c r="H383" s="19"/>
    </row>
    <row r="384">
      <c r="A384" s="22"/>
      <c r="G384" s="19"/>
      <c r="H384" s="19"/>
    </row>
    <row r="385">
      <c r="A385" s="22"/>
      <c r="G385" s="19"/>
      <c r="H385" s="19"/>
    </row>
    <row r="386">
      <c r="A386" s="22"/>
      <c r="G386" s="19"/>
      <c r="H386" s="19"/>
    </row>
    <row r="387">
      <c r="A387" s="22"/>
      <c r="G387" s="19"/>
      <c r="H387" s="19"/>
    </row>
    <row r="388">
      <c r="A388" s="22"/>
      <c r="G388" s="19"/>
      <c r="H388" s="19"/>
    </row>
    <row r="389">
      <c r="A389" s="22"/>
      <c r="G389" s="19"/>
      <c r="H389" s="19"/>
    </row>
    <row r="390">
      <c r="A390" s="22"/>
      <c r="G390" s="19"/>
      <c r="H390" s="19"/>
    </row>
    <row r="391">
      <c r="A391" s="22"/>
      <c r="G391" s="19"/>
      <c r="H391" s="19"/>
    </row>
    <row r="392">
      <c r="A392" s="22"/>
      <c r="G392" s="19"/>
      <c r="H392" s="19"/>
    </row>
    <row r="393">
      <c r="A393" s="22"/>
      <c r="G393" s="19"/>
      <c r="H393" s="19"/>
    </row>
    <row r="394">
      <c r="A394" s="22"/>
      <c r="G394" s="19"/>
      <c r="H394" s="19"/>
    </row>
    <row r="395">
      <c r="A395" s="22"/>
      <c r="G395" s="19"/>
      <c r="H395" s="19"/>
    </row>
    <row r="396">
      <c r="A396" s="22"/>
      <c r="G396" s="19"/>
      <c r="H396" s="19"/>
    </row>
    <row r="397">
      <c r="A397" s="22"/>
      <c r="G397" s="19"/>
      <c r="H397" s="19"/>
    </row>
    <row r="398">
      <c r="A398" s="22"/>
      <c r="G398" s="19"/>
      <c r="H398" s="19"/>
    </row>
    <row r="399">
      <c r="A399" s="22"/>
      <c r="G399" s="19"/>
      <c r="H399" s="19"/>
    </row>
    <row r="400">
      <c r="A400" s="22"/>
      <c r="G400" s="19"/>
      <c r="H400" s="19"/>
    </row>
    <row r="401">
      <c r="A401" s="22"/>
      <c r="G401" s="19"/>
      <c r="H401" s="19"/>
    </row>
    <row r="402">
      <c r="A402" s="22"/>
      <c r="G402" s="19"/>
      <c r="H402" s="19"/>
    </row>
    <row r="403">
      <c r="A403" s="22"/>
      <c r="G403" s="19"/>
      <c r="H403" s="19"/>
    </row>
    <row r="404">
      <c r="A404" s="22"/>
      <c r="G404" s="19"/>
      <c r="H404" s="19"/>
    </row>
    <row r="405">
      <c r="A405" s="22"/>
      <c r="G405" s="19"/>
      <c r="H405" s="19"/>
    </row>
    <row r="406">
      <c r="A406" s="22"/>
      <c r="G406" s="19"/>
      <c r="H406" s="19"/>
    </row>
    <row r="407">
      <c r="A407" s="22"/>
      <c r="G407" s="19"/>
      <c r="H407" s="19"/>
    </row>
    <row r="408">
      <c r="A408" s="22"/>
      <c r="G408" s="19"/>
      <c r="H408" s="19"/>
    </row>
    <row r="409">
      <c r="A409" s="22"/>
      <c r="G409" s="19"/>
      <c r="H409" s="19"/>
    </row>
    <row r="410">
      <c r="A410" s="22"/>
      <c r="G410" s="19"/>
      <c r="H410" s="19"/>
    </row>
    <row r="411">
      <c r="A411" s="22"/>
      <c r="G411" s="19"/>
      <c r="H411" s="19"/>
    </row>
    <row r="412">
      <c r="A412" s="22"/>
      <c r="G412" s="19"/>
      <c r="H412" s="19"/>
    </row>
    <row r="413">
      <c r="A413" s="22"/>
      <c r="G413" s="19"/>
      <c r="H413" s="19"/>
    </row>
    <row r="414">
      <c r="A414" s="22"/>
      <c r="G414" s="19"/>
      <c r="H414" s="19"/>
    </row>
    <row r="415">
      <c r="A415" s="22"/>
      <c r="G415" s="19"/>
      <c r="H415" s="19"/>
    </row>
    <row r="416">
      <c r="A416" s="22"/>
      <c r="G416" s="19"/>
      <c r="H416" s="19"/>
    </row>
    <row r="417">
      <c r="A417" s="22"/>
      <c r="G417" s="19"/>
      <c r="H417" s="19"/>
    </row>
    <row r="418">
      <c r="A418" s="22"/>
      <c r="G418" s="19"/>
      <c r="H418" s="19"/>
    </row>
    <row r="419">
      <c r="A419" s="22"/>
      <c r="G419" s="19"/>
      <c r="H419" s="19"/>
    </row>
    <row r="420">
      <c r="A420" s="22"/>
      <c r="G420" s="19"/>
      <c r="H420" s="19"/>
    </row>
    <row r="421">
      <c r="A421" s="22"/>
      <c r="G421" s="19"/>
      <c r="H421" s="19"/>
    </row>
    <row r="422">
      <c r="A422" s="22"/>
      <c r="G422" s="19"/>
      <c r="H422" s="19"/>
    </row>
    <row r="423">
      <c r="A423" s="22"/>
      <c r="G423" s="19"/>
      <c r="H423" s="19"/>
    </row>
    <row r="424">
      <c r="A424" s="22"/>
      <c r="G424" s="19"/>
      <c r="H424" s="19"/>
    </row>
    <row r="425">
      <c r="A425" s="22"/>
      <c r="G425" s="19"/>
      <c r="H425" s="19"/>
    </row>
    <row r="426">
      <c r="A426" s="22"/>
      <c r="G426" s="19"/>
      <c r="H426" s="19"/>
    </row>
    <row r="427">
      <c r="A427" s="22"/>
      <c r="G427" s="19"/>
      <c r="H427" s="19"/>
    </row>
    <row r="428">
      <c r="A428" s="22"/>
      <c r="G428" s="19"/>
      <c r="H428" s="19"/>
    </row>
    <row r="429">
      <c r="A429" s="22"/>
      <c r="G429" s="19"/>
      <c r="H429" s="19"/>
    </row>
    <row r="430">
      <c r="A430" s="22"/>
      <c r="G430" s="19"/>
      <c r="H430" s="19"/>
    </row>
    <row r="431">
      <c r="A431" s="22"/>
      <c r="G431" s="19"/>
      <c r="H431" s="19"/>
    </row>
    <row r="432">
      <c r="A432" s="22"/>
      <c r="G432" s="19"/>
      <c r="H432" s="19"/>
    </row>
    <row r="433">
      <c r="A433" s="22"/>
      <c r="G433" s="19"/>
      <c r="H433" s="19"/>
    </row>
    <row r="434">
      <c r="A434" s="22"/>
      <c r="G434" s="19"/>
      <c r="H434" s="19"/>
    </row>
    <row r="435">
      <c r="A435" s="22"/>
      <c r="G435" s="19"/>
      <c r="H435" s="19"/>
    </row>
    <row r="436">
      <c r="A436" s="22"/>
      <c r="G436" s="19"/>
      <c r="H436" s="19"/>
    </row>
    <row r="437">
      <c r="A437" s="22"/>
      <c r="G437" s="19"/>
      <c r="H437" s="19"/>
    </row>
    <row r="438">
      <c r="A438" s="22"/>
      <c r="G438" s="19"/>
      <c r="H438" s="19"/>
    </row>
    <row r="439">
      <c r="A439" s="22"/>
      <c r="G439" s="19"/>
      <c r="H439" s="19"/>
    </row>
    <row r="440">
      <c r="A440" s="22"/>
      <c r="G440" s="19"/>
      <c r="H440" s="19"/>
    </row>
    <row r="441">
      <c r="A441" s="22"/>
      <c r="G441" s="19"/>
      <c r="H441" s="19"/>
    </row>
    <row r="442">
      <c r="A442" s="22"/>
      <c r="G442" s="19"/>
      <c r="H442" s="19"/>
    </row>
    <row r="443">
      <c r="A443" s="22"/>
      <c r="G443" s="19"/>
      <c r="H443" s="19"/>
    </row>
    <row r="444">
      <c r="A444" s="22"/>
      <c r="G444" s="19"/>
      <c r="H444" s="19"/>
    </row>
    <row r="445">
      <c r="A445" s="22"/>
      <c r="G445" s="19"/>
      <c r="H445" s="19"/>
    </row>
    <row r="446">
      <c r="A446" s="22"/>
      <c r="G446" s="19"/>
      <c r="H446" s="19"/>
    </row>
    <row r="447">
      <c r="A447" s="22"/>
      <c r="G447" s="19"/>
      <c r="H447" s="19"/>
    </row>
    <row r="448">
      <c r="A448" s="22"/>
      <c r="G448" s="19"/>
      <c r="H448" s="19"/>
    </row>
    <row r="449">
      <c r="A449" s="22"/>
      <c r="G449" s="19"/>
      <c r="H449" s="19"/>
    </row>
    <row r="450">
      <c r="A450" s="22"/>
      <c r="G450" s="19"/>
      <c r="H450" s="19"/>
    </row>
    <row r="451">
      <c r="A451" s="22"/>
      <c r="G451" s="19"/>
      <c r="H451" s="19"/>
    </row>
    <row r="452">
      <c r="A452" s="22"/>
      <c r="G452" s="19"/>
      <c r="H452" s="19"/>
    </row>
    <row r="453">
      <c r="A453" s="22"/>
      <c r="G453" s="19"/>
      <c r="H453" s="19"/>
    </row>
    <row r="454">
      <c r="A454" s="22"/>
      <c r="G454" s="19"/>
      <c r="H454" s="19"/>
    </row>
    <row r="455">
      <c r="A455" s="22"/>
      <c r="G455" s="19"/>
      <c r="H455" s="19"/>
    </row>
    <row r="456">
      <c r="A456" s="22"/>
      <c r="G456" s="19"/>
      <c r="H456" s="19"/>
    </row>
    <row r="457">
      <c r="A457" s="22"/>
      <c r="G457" s="19"/>
      <c r="H457" s="19"/>
    </row>
    <row r="458">
      <c r="A458" s="22"/>
      <c r="G458" s="19"/>
      <c r="H458" s="19"/>
    </row>
    <row r="459">
      <c r="A459" s="22"/>
      <c r="G459" s="19"/>
      <c r="H459" s="19"/>
    </row>
    <row r="460">
      <c r="A460" s="22"/>
      <c r="G460" s="19"/>
      <c r="H460" s="19"/>
    </row>
    <row r="461">
      <c r="A461" s="22"/>
      <c r="G461" s="19"/>
      <c r="H461" s="19"/>
    </row>
    <row r="462">
      <c r="A462" s="22"/>
      <c r="G462" s="19"/>
      <c r="H462" s="19"/>
    </row>
    <row r="463">
      <c r="A463" s="22"/>
      <c r="G463" s="19"/>
      <c r="H463" s="19"/>
    </row>
    <row r="464">
      <c r="A464" s="22"/>
      <c r="G464" s="19"/>
      <c r="H464" s="19"/>
    </row>
    <row r="465">
      <c r="A465" s="22"/>
      <c r="G465" s="19"/>
      <c r="H465" s="19"/>
    </row>
    <row r="466">
      <c r="A466" s="22"/>
      <c r="G466" s="19"/>
      <c r="H466" s="19"/>
    </row>
    <row r="467">
      <c r="A467" s="22"/>
      <c r="G467" s="19"/>
      <c r="H467" s="19"/>
    </row>
    <row r="468">
      <c r="A468" s="22"/>
      <c r="G468" s="19"/>
      <c r="H468" s="19"/>
    </row>
    <row r="469">
      <c r="A469" s="22"/>
      <c r="G469" s="19"/>
      <c r="H469" s="19"/>
    </row>
    <row r="470">
      <c r="A470" s="22"/>
      <c r="G470" s="19"/>
      <c r="H470" s="19"/>
    </row>
    <row r="471">
      <c r="A471" s="22"/>
      <c r="G471" s="19"/>
      <c r="H471" s="19"/>
    </row>
    <row r="472">
      <c r="A472" s="22"/>
      <c r="G472" s="19"/>
      <c r="H472" s="19"/>
    </row>
    <row r="473">
      <c r="A473" s="22"/>
      <c r="G473" s="19"/>
      <c r="H473" s="19"/>
    </row>
    <row r="474">
      <c r="A474" s="22"/>
      <c r="G474" s="19"/>
      <c r="H474" s="19"/>
    </row>
    <row r="475">
      <c r="A475" s="22"/>
      <c r="G475" s="19"/>
      <c r="H475" s="19"/>
    </row>
    <row r="476">
      <c r="A476" s="22"/>
      <c r="G476" s="19"/>
      <c r="H476" s="19"/>
    </row>
    <row r="477">
      <c r="A477" s="22"/>
      <c r="G477" s="19"/>
      <c r="H477" s="19"/>
    </row>
    <row r="478">
      <c r="A478" s="22"/>
      <c r="G478" s="19"/>
      <c r="H478" s="19"/>
    </row>
    <row r="479">
      <c r="A479" s="22"/>
      <c r="G479" s="19"/>
      <c r="H479" s="19"/>
    </row>
    <row r="480">
      <c r="A480" s="22"/>
      <c r="G480" s="19"/>
      <c r="H480" s="19"/>
    </row>
    <row r="481">
      <c r="A481" s="22"/>
      <c r="G481" s="19"/>
      <c r="H481" s="19"/>
    </row>
    <row r="482">
      <c r="A482" s="22"/>
      <c r="G482" s="19"/>
      <c r="H482" s="19"/>
    </row>
    <row r="483">
      <c r="A483" s="22"/>
      <c r="G483" s="19"/>
      <c r="H483" s="19"/>
    </row>
    <row r="484">
      <c r="A484" s="22"/>
      <c r="G484" s="19"/>
      <c r="H484" s="19"/>
    </row>
    <row r="485">
      <c r="A485" s="22"/>
      <c r="G485" s="19"/>
      <c r="H485" s="19"/>
    </row>
    <row r="486">
      <c r="A486" s="22"/>
      <c r="G486" s="19"/>
      <c r="H486" s="19"/>
    </row>
    <row r="487">
      <c r="A487" s="22"/>
      <c r="G487" s="19"/>
      <c r="H487" s="19"/>
    </row>
    <row r="488">
      <c r="A488" s="22"/>
      <c r="G488" s="19"/>
      <c r="H488" s="19"/>
    </row>
    <row r="489">
      <c r="A489" s="22"/>
      <c r="G489" s="19"/>
      <c r="H489" s="19"/>
    </row>
    <row r="490">
      <c r="A490" s="22"/>
      <c r="G490" s="19"/>
      <c r="H490" s="19"/>
    </row>
    <row r="491">
      <c r="A491" s="22"/>
      <c r="G491" s="19"/>
      <c r="H491" s="19"/>
    </row>
    <row r="492">
      <c r="A492" s="22"/>
      <c r="G492" s="19"/>
      <c r="H492" s="19"/>
    </row>
    <row r="493">
      <c r="A493" s="22"/>
      <c r="G493" s="19"/>
      <c r="H493" s="19"/>
    </row>
    <row r="494">
      <c r="A494" s="22"/>
      <c r="G494" s="19"/>
      <c r="H494" s="19"/>
    </row>
    <row r="495">
      <c r="A495" s="22"/>
      <c r="G495" s="19"/>
      <c r="H495" s="19"/>
    </row>
    <row r="496">
      <c r="A496" s="22"/>
      <c r="G496" s="19"/>
      <c r="H496" s="19"/>
    </row>
    <row r="497">
      <c r="A497" s="22"/>
      <c r="G497" s="19"/>
      <c r="H497" s="19"/>
    </row>
    <row r="498">
      <c r="A498" s="22"/>
      <c r="G498" s="19"/>
      <c r="H498" s="19"/>
    </row>
    <row r="499">
      <c r="A499" s="22"/>
      <c r="G499" s="19"/>
      <c r="H499" s="19"/>
    </row>
    <row r="500">
      <c r="A500" s="22"/>
      <c r="G500" s="19"/>
      <c r="H500" s="19"/>
    </row>
    <row r="501">
      <c r="A501" s="22"/>
      <c r="G501" s="19"/>
      <c r="H501" s="19"/>
    </row>
    <row r="502">
      <c r="A502" s="22"/>
      <c r="G502" s="19"/>
      <c r="H502" s="19"/>
    </row>
    <row r="503">
      <c r="A503" s="22"/>
      <c r="G503" s="19"/>
      <c r="H503" s="19"/>
    </row>
    <row r="504">
      <c r="A504" s="22"/>
      <c r="G504" s="19"/>
      <c r="H504" s="19"/>
    </row>
    <row r="505">
      <c r="A505" s="22"/>
      <c r="G505" s="19"/>
      <c r="H505" s="19"/>
    </row>
    <row r="506">
      <c r="A506" s="22"/>
      <c r="G506" s="19"/>
      <c r="H506" s="19"/>
    </row>
    <row r="507">
      <c r="A507" s="22"/>
      <c r="G507" s="19"/>
      <c r="H507" s="19"/>
    </row>
    <row r="508">
      <c r="A508" s="22"/>
      <c r="G508" s="19"/>
      <c r="H508" s="19"/>
    </row>
    <row r="509">
      <c r="A509" s="22"/>
      <c r="G509" s="19"/>
      <c r="H509" s="19"/>
    </row>
    <row r="510">
      <c r="A510" s="22"/>
      <c r="G510" s="19"/>
      <c r="H510" s="19"/>
    </row>
    <row r="511">
      <c r="A511" s="22"/>
      <c r="G511" s="19"/>
      <c r="H511" s="19"/>
    </row>
    <row r="512">
      <c r="A512" s="22"/>
      <c r="G512" s="19"/>
      <c r="H512" s="19"/>
    </row>
    <row r="513">
      <c r="A513" s="22"/>
      <c r="G513" s="19"/>
      <c r="H513" s="19"/>
    </row>
    <row r="514">
      <c r="A514" s="22"/>
      <c r="G514" s="19"/>
      <c r="H514" s="19"/>
    </row>
    <row r="515">
      <c r="A515" s="22"/>
      <c r="G515" s="19"/>
      <c r="H515" s="19"/>
    </row>
    <row r="516">
      <c r="A516" s="22"/>
      <c r="G516" s="19"/>
      <c r="H516" s="19"/>
    </row>
    <row r="517">
      <c r="A517" s="22"/>
      <c r="G517" s="19"/>
      <c r="H517" s="19"/>
    </row>
    <row r="518">
      <c r="A518" s="22"/>
      <c r="G518" s="19"/>
      <c r="H518" s="19"/>
    </row>
    <row r="519">
      <c r="A519" s="22"/>
      <c r="G519" s="19"/>
      <c r="H519" s="19"/>
    </row>
    <row r="520">
      <c r="A520" s="22"/>
      <c r="G520" s="19"/>
      <c r="H520" s="19"/>
    </row>
    <row r="521">
      <c r="A521" s="22"/>
      <c r="G521" s="19"/>
      <c r="H521" s="19"/>
    </row>
    <row r="522">
      <c r="A522" s="22"/>
      <c r="G522" s="19"/>
      <c r="H522" s="19"/>
    </row>
    <row r="523">
      <c r="A523" s="22"/>
      <c r="G523" s="19"/>
      <c r="H523" s="19"/>
    </row>
    <row r="524">
      <c r="A524" s="22"/>
      <c r="G524" s="19"/>
      <c r="H524" s="19"/>
    </row>
    <row r="525">
      <c r="A525" s="22"/>
      <c r="G525" s="19"/>
      <c r="H525" s="19"/>
    </row>
    <row r="526">
      <c r="A526" s="22"/>
      <c r="G526" s="19"/>
      <c r="H526" s="19"/>
    </row>
    <row r="527">
      <c r="A527" s="22"/>
      <c r="G527" s="19"/>
      <c r="H527" s="19"/>
    </row>
    <row r="528">
      <c r="A528" s="22"/>
      <c r="G528" s="19"/>
      <c r="H528" s="19"/>
    </row>
    <row r="529">
      <c r="A529" s="22"/>
      <c r="G529" s="19"/>
      <c r="H529" s="19"/>
    </row>
    <row r="530">
      <c r="A530" s="22"/>
      <c r="G530" s="19"/>
      <c r="H530" s="19"/>
    </row>
    <row r="531">
      <c r="A531" s="22"/>
      <c r="G531" s="19"/>
      <c r="H531" s="19"/>
    </row>
    <row r="532">
      <c r="A532" s="22"/>
      <c r="G532" s="19"/>
      <c r="H532" s="19"/>
    </row>
    <row r="533">
      <c r="A533" s="22"/>
      <c r="G533" s="19"/>
      <c r="H533" s="19"/>
    </row>
    <row r="534">
      <c r="A534" s="22"/>
      <c r="G534" s="19"/>
      <c r="H534" s="19"/>
    </row>
    <row r="535">
      <c r="A535" s="22"/>
      <c r="G535" s="19"/>
      <c r="H535" s="19"/>
    </row>
    <row r="536">
      <c r="A536" s="22"/>
      <c r="G536" s="19"/>
      <c r="H536" s="19"/>
    </row>
    <row r="537">
      <c r="A537" s="22"/>
      <c r="G537" s="19"/>
      <c r="H537" s="19"/>
    </row>
    <row r="538">
      <c r="A538" s="22"/>
      <c r="G538" s="19"/>
      <c r="H538" s="19"/>
    </row>
    <row r="539">
      <c r="A539" s="22"/>
      <c r="G539" s="19"/>
      <c r="H539" s="19"/>
    </row>
    <row r="540">
      <c r="A540" s="22"/>
      <c r="G540" s="19"/>
      <c r="H540" s="19"/>
    </row>
    <row r="541">
      <c r="A541" s="22"/>
      <c r="G541" s="19"/>
      <c r="H541" s="19"/>
    </row>
    <row r="542">
      <c r="A542" s="22"/>
      <c r="G542" s="19"/>
      <c r="H542" s="19"/>
    </row>
    <row r="543">
      <c r="A543" s="22"/>
      <c r="G543" s="19"/>
      <c r="H543" s="19"/>
    </row>
    <row r="544">
      <c r="A544" s="22"/>
      <c r="G544" s="19"/>
      <c r="H544" s="19"/>
    </row>
    <row r="545">
      <c r="A545" s="22"/>
      <c r="G545" s="19"/>
      <c r="H545" s="19"/>
    </row>
    <row r="546">
      <c r="A546" s="22"/>
      <c r="G546" s="19"/>
      <c r="H546" s="19"/>
    </row>
    <row r="547">
      <c r="A547" s="22"/>
      <c r="G547" s="19"/>
      <c r="H547" s="19"/>
    </row>
    <row r="548">
      <c r="A548" s="22"/>
      <c r="G548" s="19"/>
      <c r="H548" s="19"/>
    </row>
    <row r="549">
      <c r="A549" s="22"/>
      <c r="G549" s="19"/>
      <c r="H549" s="19"/>
    </row>
    <row r="550">
      <c r="A550" s="22"/>
      <c r="G550" s="19"/>
      <c r="H550" s="19"/>
    </row>
    <row r="551">
      <c r="A551" s="22"/>
      <c r="G551" s="19"/>
      <c r="H551" s="19"/>
    </row>
    <row r="552">
      <c r="A552" s="22"/>
      <c r="G552" s="19"/>
      <c r="H552" s="19"/>
    </row>
    <row r="553">
      <c r="A553" s="22"/>
      <c r="G553" s="19"/>
      <c r="H553" s="19"/>
    </row>
    <row r="554">
      <c r="A554" s="22"/>
      <c r="G554" s="19"/>
      <c r="H554" s="19"/>
    </row>
    <row r="555">
      <c r="A555" s="22"/>
      <c r="G555" s="19"/>
      <c r="H555" s="19"/>
    </row>
    <row r="556">
      <c r="A556" s="22"/>
      <c r="G556" s="19"/>
      <c r="H556" s="19"/>
    </row>
    <row r="557">
      <c r="A557" s="22"/>
      <c r="G557" s="19"/>
      <c r="H557" s="19"/>
    </row>
    <row r="558">
      <c r="A558" s="22"/>
      <c r="G558" s="19"/>
      <c r="H558" s="19"/>
    </row>
    <row r="559">
      <c r="A559" s="22"/>
      <c r="G559" s="19"/>
      <c r="H559" s="19"/>
    </row>
    <row r="560">
      <c r="A560" s="22"/>
      <c r="G560" s="19"/>
      <c r="H560" s="19"/>
    </row>
    <row r="561">
      <c r="A561" s="22"/>
      <c r="G561" s="19"/>
      <c r="H561" s="19"/>
    </row>
    <row r="562">
      <c r="A562" s="22"/>
      <c r="G562" s="19"/>
      <c r="H562" s="19"/>
    </row>
    <row r="563">
      <c r="A563" s="22"/>
      <c r="G563" s="19"/>
      <c r="H563" s="19"/>
    </row>
    <row r="564">
      <c r="A564" s="22"/>
      <c r="G564" s="19"/>
      <c r="H564" s="19"/>
    </row>
    <row r="565">
      <c r="A565" s="22"/>
      <c r="G565" s="19"/>
      <c r="H565" s="19"/>
    </row>
    <row r="566">
      <c r="A566" s="22"/>
      <c r="G566" s="19"/>
      <c r="H566" s="19"/>
    </row>
    <row r="567">
      <c r="A567" s="22"/>
      <c r="G567" s="19"/>
      <c r="H567" s="19"/>
    </row>
    <row r="568">
      <c r="A568" s="22"/>
      <c r="G568" s="19"/>
      <c r="H568" s="19"/>
    </row>
    <row r="569">
      <c r="A569" s="22"/>
      <c r="G569" s="19"/>
      <c r="H569" s="19"/>
    </row>
    <row r="570">
      <c r="A570" s="22"/>
      <c r="G570" s="19"/>
      <c r="H570" s="19"/>
    </row>
    <row r="571">
      <c r="A571" s="22"/>
      <c r="G571" s="19"/>
      <c r="H571" s="19"/>
    </row>
    <row r="572">
      <c r="A572" s="22"/>
      <c r="G572" s="19"/>
      <c r="H572" s="19"/>
    </row>
    <row r="573">
      <c r="A573" s="22"/>
      <c r="G573" s="19"/>
      <c r="H573" s="19"/>
    </row>
    <row r="574">
      <c r="A574" s="22"/>
      <c r="G574" s="19"/>
      <c r="H574" s="19"/>
    </row>
    <row r="575">
      <c r="A575" s="22"/>
      <c r="G575" s="19"/>
      <c r="H575" s="19"/>
    </row>
    <row r="576">
      <c r="A576" s="22"/>
      <c r="G576" s="19"/>
      <c r="H576" s="19"/>
    </row>
    <row r="577">
      <c r="A577" s="22"/>
      <c r="G577" s="19"/>
      <c r="H577" s="19"/>
    </row>
    <row r="578">
      <c r="A578" s="22"/>
      <c r="G578" s="19"/>
      <c r="H578" s="19"/>
    </row>
    <row r="579">
      <c r="A579" s="22"/>
      <c r="G579" s="19"/>
      <c r="H579" s="19"/>
    </row>
    <row r="580">
      <c r="A580" s="22"/>
      <c r="G580" s="19"/>
      <c r="H580" s="19"/>
    </row>
    <row r="581">
      <c r="A581" s="22"/>
      <c r="G581" s="19"/>
      <c r="H581" s="19"/>
    </row>
    <row r="582">
      <c r="A582" s="22"/>
      <c r="G582" s="19"/>
      <c r="H582" s="19"/>
    </row>
    <row r="583">
      <c r="A583" s="22"/>
      <c r="G583" s="19"/>
      <c r="H583" s="19"/>
    </row>
    <row r="584">
      <c r="A584" s="22"/>
      <c r="G584" s="19"/>
      <c r="H584" s="19"/>
    </row>
    <row r="585">
      <c r="A585" s="22"/>
      <c r="G585" s="19"/>
      <c r="H585" s="19"/>
    </row>
    <row r="586">
      <c r="A586" s="22"/>
      <c r="G586" s="19"/>
      <c r="H586" s="19"/>
    </row>
    <row r="587">
      <c r="A587" s="22"/>
      <c r="G587" s="19"/>
      <c r="H587" s="19"/>
    </row>
    <row r="588">
      <c r="A588" s="22"/>
      <c r="G588" s="19"/>
      <c r="H588" s="19"/>
    </row>
    <row r="589">
      <c r="A589" s="22"/>
      <c r="G589" s="19"/>
      <c r="H589" s="19"/>
    </row>
    <row r="590">
      <c r="A590" s="22"/>
      <c r="G590" s="19"/>
      <c r="H590" s="19"/>
    </row>
    <row r="591">
      <c r="A591" s="22"/>
      <c r="G591" s="19"/>
      <c r="H591" s="19"/>
    </row>
    <row r="592">
      <c r="A592" s="22"/>
      <c r="G592" s="19"/>
      <c r="H592" s="19"/>
    </row>
    <row r="593">
      <c r="A593" s="22"/>
      <c r="G593" s="19"/>
      <c r="H593" s="19"/>
    </row>
    <row r="594">
      <c r="A594" s="22"/>
      <c r="G594" s="19"/>
      <c r="H594" s="19"/>
    </row>
    <row r="595">
      <c r="A595" s="22"/>
      <c r="G595" s="19"/>
      <c r="H595" s="19"/>
    </row>
    <row r="596">
      <c r="A596" s="22"/>
      <c r="G596" s="19"/>
      <c r="H596" s="19"/>
    </row>
    <row r="597">
      <c r="A597" s="22"/>
      <c r="G597" s="19"/>
      <c r="H597" s="19"/>
    </row>
    <row r="598">
      <c r="A598" s="22"/>
      <c r="G598" s="19"/>
      <c r="H598" s="19"/>
    </row>
    <row r="599">
      <c r="A599" s="22"/>
      <c r="G599" s="19"/>
      <c r="H599" s="19"/>
    </row>
    <row r="600">
      <c r="A600" s="22"/>
      <c r="G600" s="19"/>
      <c r="H600" s="19"/>
    </row>
    <row r="601">
      <c r="A601" s="22"/>
      <c r="G601" s="19"/>
      <c r="H601" s="19"/>
    </row>
    <row r="602">
      <c r="A602" s="22"/>
      <c r="G602" s="19"/>
      <c r="H602" s="19"/>
    </row>
    <row r="603">
      <c r="A603" s="22"/>
      <c r="G603" s="19"/>
      <c r="H603" s="19"/>
    </row>
    <row r="604">
      <c r="A604" s="22"/>
      <c r="G604" s="19"/>
      <c r="H604" s="19"/>
    </row>
    <row r="605">
      <c r="A605" s="22"/>
      <c r="G605" s="19"/>
      <c r="H605" s="19"/>
    </row>
    <row r="606">
      <c r="A606" s="22"/>
      <c r="G606" s="19"/>
      <c r="H606" s="19"/>
    </row>
    <row r="607">
      <c r="A607" s="22"/>
      <c r="G607" s="19"/>
      <c r="H607" s="19"/>
    </row>
    <row r="608">
      <c r="A608" s="22"/>
      <c r="G608" s="19"/>
      <c r="H608" s="19"/>
    </row>
    <row r="609">
      <c r="A609" s="22"/>
      <c r="G609" s="19"/>
      <c r="H609" s="19"/>
    </row>
    <row r="610">
      <c r="A610" s="22"/>
      <c r="G610" s="19"/>
      <c r="H610" s="19"/>
    </row>
    <row r="611">
      <c r="A611" s="22"/>
      <c r="G611" s="19"/>
      <c r="H611" s="19"/>
    </row>
    <row r="612">
      <c r="A612" s="22"/>
      <c r="G612" s="19"/>
      <c r="H612" s="19"/>
    </row>
    <row r="613">
      <c r="A613" s="22"/>
      <c r="G613" s="19"/>
      <c r="H613" s="19"/>
    </row>
    <row r="614">
      <c r="A614" s="22"/>
      <c r="G614" s="19"/>
      <c r="H614" s="19"/>
    </row>
    <row r="615">
      <c r="A615" s="22"/>
      <c r="G615" s="19"/>
      <c r="H615" s="19"/>
    </row>
    <row r="616">
      <c r="A616" s="22"/>
      <c r="G616" s="19"/>
      <c r="H616" s="19"/>
    </row>
    <row r="617">
      <c r="A617" s="22"/>
      <c r="G617" s="19"/>
      <c r="H617" s="19"/>
    </row>
    <row r="618">
      <c r="A618" s="22"/>
      <c r="G618" s="19"/>
      <c r="H618" s="19"/>
    </row>
    <row r="619">
      <c r="A619" s="22"/>
      <c r="G619" s="19"/>
      <c r="H619" s="19"/>
    </row>
    <row r="620">
      <c r="A620" s="22"/>
      <c r="G620" s="19"/>
      <c r="H620" s="19"/>
    </row>
    <row r="621">
      <c r="A621" s="22"/>
      <c r="G621" s="19"/>
      <c r="H621" s="19"/>
    </row>
    <row r="622">
      <c r="A622" s="22"/>
      <c r="G622" s="19"/>
      <c r="H622" s="19"/>
    </row>
    <row r="623">
      <c r="A623" s="22"/>
      <c r="G623" s="19"/>
      <c r="H623" s="19"/>
    </row>
    <row r="624">
      <c r="A624" s="22"/>
      <c r="G624" s="19"/>
      <c r="H624" s="19"/>
    </row>
    <row r="625">
      <c r="A625" s="22"/>
      <c r="G625" s="19"/>
      <c r="H625" s="19"/>
    </row>
    <row r="626">
      <c r="A626" s="22"/>
      <c r="G626" s="19"/>
      <c r="H626" s="19"/>
    </row>
    <row r="627">
      <c r="A627" s="22"/>
      <c r="G627" s="19"/>
      <c r="H627" s="19"/>
    </row>
    <row r="628">
      <c r="A628" s="22"/>
      <c r="G628" s="19"/>
      <c r="H628" s="19"/>
    </row>
    <row r="629">
      <c r="A629" s="22"/>
      <c r="G629" s="19"/>
      <c r="H629" s="19"/>
    </row>
    <row r="630">
      <c r="A630" s="22"/>
      <c r="G630" s="19"/>
      <c r="H630" s="19"/>
    </row>
    <row r="631">
      <c r="A631" s="22"/>
      <c r="G631" s="19"/>
      <c r="H631" s="19"/>
    </row>
    <row r="632">
      <c r="A632" s="22"/>
      <c r="G632" s="19"/>
      <c r="H632" s="19"/>
    </row>
    <row r="633">
      <c r="A633" s="22"/>
      <c r="G633" s="19"/>
      <c r="H633" s="19"/>
    </row>
    <row r="634">
      <c r="A634" s="22"/>
      <c r="G634" s="19"/>
      <c r="H634" s="19"/>
    </row>
    <row r="635">
      <c r="A635" s="22"/>
      <c r="G635" s="19"/>
      <c r="H635" s="19"/>
    </row>
    <row r="636">
      <c r="A636" s="22"/>
      <c r="G636" s="19"/>
      <c r="H636" s="19"/>
    </row>
    <row r="637">
      <c r="A637" s="22"/>
      <c r="G637" s="19"/>
      <c r="H637" s="19"/>
    </row>
    <row r="638">
      <c r="A638" s="22"/>
      <c r="G638" s="19"/>
      <c r="H638" s="19"/>
    </row>
    <row r="639">
      <c r="A639" s="22"/>
      <c r="G639" s="19"/>
      <c r="H639" s="19"/>
    </row>
    <row r="640">
      <c r="A640" s="22"/>
      <c r="G640" s="19"/>
      <c r="H640" s="19"/>
    </row>
    <row r="641">
      <c r="A641" s="22"/>
      <c r="G641" s="19"/>
      <c r="H641" s="19"/>
    </row>
    <row r="642">
      <c r="A642" s="22"/>
      <c r="G642" s="19"/>
      <c r="H642" s="19"/>
    </row>
    <row r="643">
      <c r="A643" s="22"/>
      <c r="G643" s="19"/>
      <c r="H643" s="19"/>
    </row>
    <row r="644">
      <c r="A644" s="22"/>
      <c r="G644" s="19"/>
      <c r="H644" s="19"/>
    </row>
    <row r="645">
      <c r="A645" s="22"/>
      <c r="G645" s="19"/>
      <c r="H645" s="19"/>
    </row>
    <row r="646">
      <c r="A646" s="22"/>
      <c r="G646" s="19"/>
      <c r="H646" s="19"/>
    </row>
    <row r="647">
      <c r="A647" s="22"/>
      <c r="G647" s="19"/>
      <c r="H647" s="19"/>
    </row>
    <row r="648">
      <c r="A648" s="22"/>
      <c r="G648" s="19"/>
      <c r="H648" s="19"/>
    </row>
    <row r="649">
      <c r="A649" s="22"/>
      <c r="G649" s="19"/>
      <c r="H649" s="19"/>
    </row>
    <row r="650">
      <c r="A650" s="22"/>
      <c r="G650" s="19"/>
      <c r="H650" s="19"/>
    </row>
    <row r="651">
      <c r="A651" s="22"/>
      <c r="G651" s="19"/>
      <c r="H651" s="19"/>
    </row>
    <row r="652">
      <c r="A652" s="22"/>
      <c r="G652" s="19"/>
      <c r="H652" s="19"/>
    </row>
    <row r="653">
      <c r="A653" s="22"/>
      <c r="G653" s="19"/>
      <c r="H653" s="19"/>
    </row>
    <row r="654">
      <c r="A654" s="22"/>
      <c r="G654" s="19"/>
      <c r="H654" s="19"/>
    </row>
    <row r="655">
      <c r="A655" s="22"/>
      <c r="G655" s="19"/>
      <c r="H655" s="19"/>
    </row>
    <row r="656">
      <c r="A656" s="22"/>
      <c r="G656" s="19"/>
      <c r="H656" s="19"/>
    </row>
    <row r="657">
      <c r="A657" s="22"/>
      <c r="G657" s="19"/>
      <c r="H657" s="19"/>
    </row>
    <row r="658">
      <c r="A658" s="22"/>
      <c r="G658" s="19"/>
      <c r="H658" s="19"/>
    </row>
    <row r="659">
      <c r="A659" s="22"/>
      <c r="G659" s="19"/>
      <c r="H659" s="19"/>
    </row>
    <row r="660">
      <c r="A660" s="22"/>
      <c r="G660" s="19"/>
      <c r="H660" s="19"/>
    </row>
    <row r="661">
      <c r="A661" s="22"/>
      <c r="G661" s="19"/>
      <c r="H661" s="19"/>
    </row>
    <row r="662">
      <c r="A662" s="22"/>
      <c r="G662" s="19"/>
      <c r="H662" s="19"/>
    </row>
    <row r="663">
      <c r="A663" s="22"/>
      <c r="G663" s="19"/>
      <c r="H663" s="19"/>
    </row>
    <row r="664">
      <c r="A664" s="22"/>
      <c r="G664" s="19"/>
      <c r="H664" s="19"/>
    </row>
    <row r="665">
      <c r="A665" s="22"/>
      <c r="G665" s="19"/>
      <c r="H665" s="19"/>
    </row>
    <row r="666">
      <c r="A666" s="22"/>
      <c r="G666" s="19"/>
      <c r="H666" s="19"/>
    </row>
    <row r="667">
      <c r="A667" s="22"/>
      <c r="G667" s="19"/>
      <c r="H667" s="19"/>
    </row>
    <row r="668">
      <c r="A668" s="22"/>
      <c r="G668" s="19"/>
      <c r="H668" s="19"/>
    </row>
    <row r="669">
      <c r="A669" s="22"/>
      <c r="G669" s="19"/>
      <c r="H669" s="19"/>
    </row>
    <row r="670">
      <c r="A670" s="22"/>
      <c r="G670" s="19"/>
      <c r="H670" s="19"/>
    </row>
    <row r="671">
      <c r="A671" s="22"/>
      <c r="G671" s="19"/>
      <c r="H671" s="19"/>
    </row>
    <row r="672">
      <c r="A672" s="22"/>
      <c r="G672" s="19"/>
      <c r="H672" s="19"/>
    </row>
    <row r="673">
      <c r="A673" s="22"/>
      <c r="G673" s="19"/>
      <c r="H673" s="19"/>
    </row>
    <row r="674">
      <c r="A674" s="22"/>
      <c r="G674" s="19"/>
      <c r="H674" s="19"/>
    </row>
    <row r="675">
      <c r="A675" s="22"/>
      <c r="G675" s="19"/>
      <c r="H675" s="19"/>
    </row>
    <row r="676">
      <c r="A676" s="22"/>
      <c r="G676" s="19"/>
      <c r="H676" s="19"/>
    </row>
    <row r="677">
      <c r="A677" s="22"/>
      <c r="G677" s="19"/>
      <c r="H677" s="19"/>
    </row>
    <row r="678">
      <c r="A678" s="22"/>
      <c r="G678" s="19"/>
      <c r="H678" s="19"/>
    </row>
    <row r="679">
      <c r="A679" s="22"/>
      <c r="G679" s="19"/>
      <c r="H679" s="19"/>
    </row>
    <row r="680">
      <c r="A680" s="22"/>
      <c r="G680" s="19"/>
      <c r="H680" s="19"/>
    </row>
    <row r="681">
      <c r="A681" s="22"/>
      <c r="G681" s="19"/>
      <c r="H681" s="19"/>
    </row>
    <row r="682">
      <c r="A682" s="22"/>
      <c r="G682" s="19"/>
      <c r="H682" s="19"/>
    </row>
    <row r="683">
      <c r="A683" s="22"/>
      <c r="G683" s="19"/>
      <c r="H683" s="19"/>
    </row>
    <row r="684">
      <c r="A684" s="22"/>
      <c r="G684" s="19"/>
      <c r="H684" s="19"/>
    </row>
    <row r="685">
      <c r="A685" s="22"/>
      <c r="G685" s="19"/>
      <c r="H685" s="19"/>
    </row>
    <row r="686">
      <c r="A686" s="22"/>
      <c r="G686" s="19"/>
      <c r="H686" s="19"/>
    </row>
    <row r="687">
      <c r="A687" s="22"/>
      <c r="G687" s="19"/>
      <c r="H687" s="19"/>
    </row>
    <row r="688">
      <c r="A688" s="22"/>
      <c r="G688" s="19"/>
      <c r="H688" s="19"/>
    </row>
    <row r="689">
      <c r="A689" s="22"/>
      <c r="G689" s="19"/>
      <c r="H689" s="19"/>
    </row>
    <row r="690">
      <c r="A690" s="22"/>
      <c r="G690" s="19"/>
      <c r="H690" s="19"/>
    </row>
    <row r="691">
      <c r="A691" s="22"/>
      <c r="G691" s="19"/>
      <c r="H691" s="19"/>
    </row>
    <row r="692">
      <c r="A692" s="22"/>
      <c r="G692" s="19"/>
      <c r="H692" s="19"/>
    </row>
    <row r="693">
      <c r="A693" s="22"/>
      <c r="G693" s="19"/>
      <c r="H693" s="19"/>
    </row>
    <row r="694">
      <c r="A694" s="22"/>
      <c r="G694" s="19"/>
      <c r="H694" s="19"/>
    </row>
    <row r="695">
      <c r="A695" s="22"/>
      <c r="G695" s="19"/>
      <c r="H695" s="19"/>
    </row>
    <row r="696">
      <c r="A696" s="22"/>
      <c r="G696" s="19"/>
      <c r="H696" s="19"/>
    </row>
    <row r="697">
      <c r="A697" s="22"/>
      <c r="G697" s="19"/>
      <c r="H697" s="19"/>
    </row>
    <row r="698">
      <c r="A698" s="22"/>
      <c r="G698" s="19"/>
      <c r="H698" s="19"/>
    </row>
    <row r="699">
      <c r="A699" s="22"/>
      <c r="G699" s="19"/>
      <c r="H699" s="19"/>
    </row>
    <row r="700">
      <c r="A700" s="22"/>
      <c r="G700" s="19"/>
      <c r="H700" s="19"/>
    </row>
    <row r="701">
      <c r="A701" s="22"/>
      <c r="G701" s="19"/>
      <c r="H701" s="19"/>
    </row>
    <row r="702">
      <c r="A702" s="22"/>
      <c r="G702" s="19"/>
      <c r="H702" s="19"/>
    </row>
    <row r="703">
      <c r="A703" s="22"/>
      <c r="G703" s="19"/>
      <c r="H703" s="19"/>
    </row>
    <row r="704">
      <c r="A704" s="22"/>
      <c r="G704" s="19"/>
      <c r="H704" s="19"/>
    </row>
    <row r="705">
      <c r="A705" s="22"/>
      <c r="G705" s="19"/>
      <c r="H705" s="19"/>
    </row>
    <row r="706">
      <c r="A706" s="22"/>
      <c r="G706" s="19"/>
      <c r="H706" s="19"/>
    </row>
    <row r="707">
      <c r="A707" s="22"/>
      <c r="G707" s="19"/>
      <c r="H707" s="19"/>
    </row>
    <row r="708">
      <c r="A708" s="22"/>
      <c r="G708" s="19"/>
      <c r="H708" s="19"/>
    </row>
    <row r="709">
      <c r="A709" s="22"/>
      <c r="G709" s="19"/>
      <c r="H709" s="19"/>
    </row>
    <row r="710">
      <c r="A710" s="22"/>
      <c r="G710" s="19"/>
      <c r="H710" s="19"/>
    </row>
    <row r="711">
      <c r="A711" s="22"/>
      <c r="G711" s="19"/>
      <c r="H711" s="19"/>
    </row>
    <row r="712">
      <c r="A712" s="22"/>
      <c r="G712" s="19"/>
      <c r="H712" s="19"/>
    </row>
    <row r="713">
      <c r="A713" s="22"/>
      <c r="G713" s="19"/>
      <c r="H713" s="19"/>
    </row>
    <row r="714">
      <c r="A714" s="22"/>
      <c r="G714" s="19"/>
      <c r="H714" s="19"/>
    </row>
    <row r="715">
      <c r="A715" s="22"/>
      <c r="G715" s="19"/>
      <c r="H715" s="19"/>
    </row>
    <row r="716">
      <c r="A716" s="22"/>
      <c r="G716" s="19"/>
      <c r="H716" s="19"/>
    </row>
    <row r="717">
      <c r="A717" s="22"/>
      <c r="G717" s="19"/>
      <c r="H717" s="19"/>
    </row>
    <row r="718">
      <c r="A718" s="22"/>
      <c r="G718" s="19"/>
      <c r="H718" s="19"/>
    </row>
    <row r="719">
      <c r="A719" s="22"/>
      <c r="G719" s="19"/>
      <c r="H719" s="19"/>
    </row>
    <row r="720">
      <c r="A720" s="22"/>
      <c r="G720" s="19"/>
      <c r="H720" s="19"/>
    </row>
    <row r="721">
      <c r="A721" s="22"/>
      <c r="G721" s="19"/>
      <c r="H721" s="19"/>
    </row>
    <row r="722">
      <c r="A722" s="22"/>
      <c r="G722" s="19"/>
      <c r="H722" s="19"/>
    </row>
    <row r="723">
      <c r="A723" s="22"/>
      <c r="G723" s="19"/>
      <c r="H723" s="19"/>
    </row>
    <row r="724">
      <c r="A724" s="22"/>
      <c r="G724" s="19"/>
      <c r="H724" s="19"/>
    </row>
    <row r="725">
      <c r="A725" s="22"/>
      <c r="G725" s="19"/>
      <c r="H725" s="19"/>
    </row>
    <row r="726">
      <c r="A726" s="22"/>
      <c r="G726" s="19"/>
      <c r="H726" s="19"/>
    </row>
    <row r="727">
      <c r="A727" s="22"/>
      <c r="G727" s="19"/>
      <c r="H727" s="19"/>
    </row>
    <row r="728">
      <c r="A728" s="22"/>
      <c r="G728" s="19"/>
      <c r="H728" s="19"/>
    </row>
    <row r="729">
      <c r="A729" s="22"/>
      <c r="G729" s="19"/>
      <c r="H729" s="19"/>
    </row>
    <row r="730">
      <c r="A730" s="22"/>
      <c r="G730" s="19"/>
      <c r="H730" s="19"/>
    </row>
    <row r="731">
      <c r="A731" s="22"/>
      <c r="G731" s="19"/>
      <c r="H731" s="19"/>
    </row>
    <row r="732">
      <c r="A732" s="22"/>
      <c r="G732" s="19"/>
      <c r="H732" s="19"/>
    </row>
    <row r="733">
      <c r="A733" s="22"/>
      <c r="G733" s="19"/>
      <c r="H733" s="19"/>
    </row>
    <row r="734">
      <c r="A734" s="22"/>
      <c r="G734" s="19"/>
      <c r="H734" s="19"/>
    </row>
    <row r="735">
      <c r="A735" s="22"/>
      <c r="G735" s="19"/>
      <c r="H735" s="19"/>
    </row>
    <row r="736">
      <c r="A736" s="22"/>
      <c r="G736" s="19"/>
      <c r="H736" s="19"/>
    </row>
    <row r="737">
      <c r="A737" s="22"/>
      <c r="G737" s="19"/>
      <c r="H737" s="19"/>
    </row>
    <row r="738">
      <c r="A738" s="22"/>
      <c r="G738" s="19"/>
      <c r="H738" s="19"/>
    </row>
    <row r="739">
      <c r="A739" s="22"/>
      <c r="G739" s="19"/>
      <c r="H739" s="19"/>
    </row>
    <row r="740">
      <c r="A740" s="22"/>
      <c r="G740" s="19"/>
      <c r="H740" s="19"/>
    </row>
    <row r="741">
      <c r="A741" s="22"/>
      <c r="G741" s="19"/>
      <c r="H741" s="19"/>
    </row>
    <row r="742">
      <c r="A742" s="22"/>
      <c r="G742" s="19"/>
      <c r="H742" s="19"/>
    </row>
    <row r="743">
      <c r="A743" s="22"/>
      <c r="G743" s="19"/>
      <c r="H743" s="19"/>
    </row>
    <row r="744">
      <c r="A744" s="22"/>
      <c r="G744" s="19"/>
      <c r="H744" s="19"/>
    </row>
    <row r="745">
      <c r="A745" s="22"/>
      <c r="G745" s="19"/>
      <c r="H745" s="19"/>
    </row>
    <row r="746">
      <c r="A746" s="22"/>
      <c r="G746" s="19"/>
      <c r="H746" s="19"/>
    </row>
    <row r="747">
      <c r="A747" s="22"/>
      <c r="G747" s="19"/>
      <c r="H747" s="19"/>
    </row>
    <row r="748">
      <c r="A748" s="22"/>
      <c r="G748" s="19"/>
      <c r="H748" s="19"/>
    </row>
    <row r="749">
      <c r="A749" s="22"/>
      <c r="G749" s="19"/>
      <c r="H749" s="19"/>
    </row>
    <row r="750">
      <c r="A750" s="22"/>
      <c r="G750" s="19"/>
      <c r="H750" s="19"/>
    </row>
    <row r="751">
      <c r="A751" s="22"/>
      <c r="G751" s="19"/>
      <c r="H751" s="19"/>
    </row>
    <row r="752">
      <c r="A752" s="22"/>
      <c r="G752" s="19"/>
      <c r="H752" s="19"/>
    </row>
    <row r="753">
      <c r="A753" s="22"/>
      <c r="G753" s="19"/>
      <c r="H753" s="19"/>
    </row>
    <row r="754">
      <c r="A754" s="22"/>
      <c r="G754" s="19"/>
      <c r="H754" s="19"/>
    </row>
    <row r="755">
      <c r="A755" s="22"/>
      <c r="G755" s="19"/>
      <c r="H755" s="19"/>
    </row>
    <row r="756">
      <c r="A756" s="22"/>
      <c r="G756" s="19"/>
      <c r="H756" s="19"/>
    </row>
    <row r="757">
      <c r="A757" s="22"/>
      <c r="G757" s="19"/>
      <c r="H757" s="19"/>
    </row>
    <row r="758">
      <c r="A758" s="22"/>
      <c r="G758" s="19"/>
      <c r="H758" s="19"/>
    </row>
    <row r="759">
      <c r="A759" s="22"/>
      <c r="G759" s="19"/>
      <c r="H759" s="19"/>
    </row>
    <row r="760">
      <c r="A760" s="22"/>
      <c r="G760" s="19"/>
      <c r="H760" s="19"/>
    </row>
    <row r="761">
      <c r="A761" s="22"/>
      <c r="G761" s="19"/>
      <c r="H761" s="19"/>
    </row>
    <row r="762">
      <c r="A762" s="22"/>
      <c r="G762" s="19"/>
      <c r="H762" s="19"/>
    </row>
    <row r="763">
      <c r="A763" s="22"/>
      <c r="G763" s="19"/>
      <c r="H763" s="19"/>
    </row>
    <row r="764">
      <c r="A764" s="22"/>
      <c r="G764" s="19"/>
      <c r="H764" s="19"/>
    </row>
    <row r="765">
      <c r="A765" s="22"/>
      <c r="G765" s="19"/>
      <c r="H765" s="19"/>
    </row>
    <row r="766">
      <c r="A766" s="22"/>
      <c r="G766" s="19"/>
      <c r="H766" s="19"/>
    </row>
    <row r="767">
      <c r="A767" s="22"/>
      <c r="G767" s="19"/>
      <c r="H767" s="19"/>
    </row>
    <row r="768">
      <c r="A768" s="22"/>
      <c r="G768" s="19"/>
      <c r="H768" s="19"/>
    </row>
    <row r="769">
      <c r="A769" s="22"/>
      <c r="G769" s="19"/>
      <c r="H769" s="19"/>
    </row>
    <row r="770">
      <c r="A770" s="22"/>
      <c r="G770" s="19"/>
      <c r="H770" s="19"/>
    </row>
    <row r="771">
      <c r="A771" s="22"/>
      <c r="G771" s="19"/>
      <c r="H771" s="19"/>
    </row>
    <row r="772">
      <c r="A772" s="22"/>
      <c r="G772" s="19"/>
      <c r="H772" s="19"/>
    </row>
    <row r="773">
      <c r="A773" s="22"/>
      <c r="G773" s="19"/>
      <c r="H773" s="19"/>
    </row>
    <row r="774">
      <c r="A774" s="22"/>
      <c r="G774" s="19"/>
      <c r="H774" s="19"/>
    </row>
    <row r="775">
      <c r="A775" s="22"/>
      <c r="G775" s="19"/>
      <c r="H775" s="19"/>
    </row>
    <row r="776">
      <c r="A776" s="22"/>
      <c r="G776" s="19"/>
      <c r="H776" s="19"/>
    </row>
    <row r="777">
      <c r="A777" s="22"/>
      <c r="G777" s="19"/>
      <c r="H777" s="19"/>
    </row>
    <row r="778">
      <c r="A778" s="22"/>
      <c r="G778" s="19"/>
      <c r="H778" s="19"/>
    </row>
    <row r="779">
      <c r="A779" s="22"/>
      <c r="G779" s="19"/>
      <c r="H779" s="19"/>
    </row>
    <row r="780">
      <c r="A780" s="22"/>
      <c r="G780" s="19"/>
      <c r="H780" s="19"/>
    </row>
    <row r="781">
      <c r="A781" s="22"/>
      <c r="G781" s="19"/>
      <c r="H781" s="19"/>
    </row>
    <row r="782">
      <c r="A782" s="22"/>
      <c r="G782" s="19"/>
      <c r="H782" s="19"/>
    </row>
    <row r="783">
      <c r="A783" s="22"/>
      <c r="G783" s="19"/>
      <c r="H783" s="19"/>
    </row>
    <row r="784">
      <c r="A784" s="22"/>
      <c r="G784" s="19"/>
      <c r="H784" s="19"/>
    </row>
    <row r="785">
      <c r="A785" s="22"/>
      <c r="G785" s="19"/>
      <c r="H785" s="19"/>
    </row>
    <row r="786">
      <c r="A786" s="22"/>
      <c r="G786" s="19"/>
      <c r="H786" s="19"/>
    </row>
    <row r="787">
      <c r="A787" s="22"/>
      <c r="G787" s="19"/>
      <c r="H787" s="19"/>
    </row>
    <row r="788">
      <c r="A788" s="22"/>
      <c r="G788" s="19"/>
      <c r="H788" s="19"/>
    </row>
    <row r="789">
      <c r="A789" s="22"/>
      <c r="G789" s="19"/>
      <c r="H789" s="19"/>
    </row>
    <row r="790">
      <c r="A790" s="22"/>
      <c r="G790" s="19"/>
      <c r="H790" s="19"/>
    </row>
    <row r="791">
      <c r="A791" s="22"/>
      <c r="G791" s="19"/>
      <c r="H791" s="19"/>
    </row>
    <row r="792">
      <c r="A792" s="22"/>
      <c r="G792" s="19"/>
      <c r="H792" s="19"/>
    </row>
    <row r="793">
      <c r="A793" s="22"/>
      <c r="G793" s="19"/>
      <c r="H793" s="19"/>
    </row>
    <row r="794">
      <c r="A794" s="22"/>
      <c r="G794" s="19"/>
      <c r="H794" s="19"/>
    </row>
    <row r="795">
      <c r="A795" s="22"/>
      <c r="G795" s="19"/>
      <c r="H795" s="19"/>
    </row>
    <row r="796">
      <c r="A796" s="22"/>
      <c r="G796" s="19"/>
      <c r="H796" s="19"/>
    </row>
    <row r="797">
      <c r="A797" s="22"/>
      <c r="G797" s="19"/>
      <c r="H797" s="19"/>
    </row>
    <row r="798">
      <c r="A798" s="22"/>
      <c r="G798" s="19"/>
      <c r="H798" s="19"/>
    </row>
    <row r="799">
      <c r="A799" s="22"/>
      <c r="G799" s="19"/>
      <c r="H799" s="19"/>
    </row>
    <row r="800">
      <c r="A800" s="22"/>
      <c r="G800" s="19"/>
      <c r="H800" s="19"/>
    </row>
    <row r="801">
      <c r="A801" s="22"/>
      <c r="G801" s="19"/>
      <c r="H801" s="19"/>
    </row>
    <row r="802">
      <c r="A802" s="22"/>
      <c r="G802" s="19"/>
      <c r="H802" s="19"/>
    </row>
    <row r="803">
      <c r="A803" s="22"/>
      <c r="G803" s="19"/>
      <c r="H803" s="19"/>
    </row>
    <row r="804">
      <c r="A804" s="22"/>
      <c r="G804" s="19"/>
      <c r="H804" s="19"/>
    </row>
    <row r="805">
      <c r="A805" s="22"/>
      <c r="G805" s="19"/>
      <c r="H805" s="19"/>
    </row>
    <row r="806">
      <c r="A806" s="22"/>
      <c r="G806" s="19"/>
      <c r="H806" s="19"/>
    </row>
    <row r="807">
      <c r="A807" s="22"/>
      <c r="G807" s="19"/>
      <c r="H807" s="19"/>
    </row>
    <row r="808">
      <c r="A808" s="22"/>
      <c r="G808" s="19"/>
      <c r="H808" s="19"/>
    </row>
    <row r="809">
      <c r="A809" s="22"/>
      <c r="G809" s="19"/>
      <c r="H809" s="19"/>
    </row>
    <row r="810">
      <c r="A810" s="22"/>
      <c r="G810" s="19"/>
      <c r="H810" s="19"/>
    </row>
    <row r="811">
      <c r="A811" s="22"/>
      <c r="G811" s="19"/>
      <c r="H811" s="19"/>
    </row>
    <row r="812">
      <c r="A812" s="22"/>
      <c r="G812" s="19"/>
      <c r="H812" s="19"/>
    </row>
    <row r="813">
      <c r="A813" s="22"/>
      <c r="G813" s="19"/>
      <c r="H813" s="19"/>
    </row>
    <row r="814">
      <c r="A814" s="22"/>
      <c r="G814" s="19"/>
      <c r="H814" s="19"/>
    </row>
    <row r="815">
      <c r="A815" s="22"/>
      <c r="G815" s="19"/>
      <c r="H815" s="19"/>
    </row>
    <row r="816">
      <c r="A816" s="22"/>
      <c r="G816" s="19"/>
      <c r="H816" s="19"/>
    </row>
    <row r="817">
      <c r="A817" s="22"/>
      <c r="G817" s="19"/>
      <c r="H817" s="19"/>
    </row>
    <row r="818">
      <c r="A818" s="22"/>
      <c r="G818" s="19"/>
      <c r="H818" s="19"/>
    </row>
    <row r="819">
      <c r="A819" s="22"/>
      <c r="G819" s="19"/>
      <c r="H819" s="19"/>
    </row>
    <row r="820">
      <c r="A820" s="22"/>
      <c r="G820" s="19"/>
      <c r="H820" s="19"/>
    </row>
    <row r="821">
      <c r="A821" s="22"/>
      <c r="G821" s="19"/>
      <c r="H821" s="19"/>
    </row>
    <row r="822">
      <c r="A822" s="22"/>
      <c r="G822" s="19"/>
      <c r="H822" s="19"/>
    </row>
    <row r="823">
      <c r="A823" s="22"/>
      <c r="G823" s="19"/>
      <c r="H823" s="19"/>
    </row>
    <row r="824">
      <c r="A824" s="22"/>
      <c r="G824" s="19"/>
      <c r="H824" s="19"/>
    </row>
    <row r="825">
      <c r="A825" s="22"/>
      <c r="G825" s="19"/>
      <c r="H825" s="19"/>
    </row>
    <row r="826">
      <c r="A826" s="22"/>
      <c r="G826" s="19"/>
      <c r="H826" s="19"/>
    </row>
    <row r="827">
      <c r="A827" s="22"/>
      <c r="G827" s="19"/>
      <c r="H827" s="19"/>
    </row>
    <row r="828">
      <c r="A828" s="22"/>
      <c r="G828" s="19"/>
      <c r="H828" s="19"/>
    </row>
    <row r="829">
      <c r="A829" s="22"/>
      <c r="G829" s="19"/>
      <c r="H829" s="19"/>
    </row>
    <row r="830">
      <c r="A830" s="22"/>
      <c r="G830" s="19"/>
      <c r="H830" s="19"/>
    </row>
    <row r="831">
      <c r="A831" s="22"/>
      <c r="G831" s="19"/>
      <c r="H831" s="19"/>
    </row>
    <row r="832">
      <c r="A832" s="22"/>
      <c r="G832" s="19"/>
      <c r="H832" s="19"/>
    </row>
    <row r="833">
      <c r="A833" s="22"/>
      <c r="G833" s="19"/>
      <c r="H833" s="19"/>
    </row>
    <row r="834">
      <c r="A834" s="22"/>
      <c r="G834" s="19"/>
      <c r="H834" s="19"/>
    </row>
    <row r="835">
      <c r="A835" s="22"/>
      <c r="G835" s="19"/>
      <c r="H835" s="19"/>
    </row>
    <row r="836">
      <c r="A836" s="22"/>
      <c r="G836" s="19"/>
      <c r="H836" s="19"/>
    </row>
    <row r="837">
      <c r="A837" s="22"/>
      <c r="G837" s="19"/>
      <c r="H837" s="19"/>
    </row>
    <row r="838">
      <c r="A838" s="22"/>
      <c r="G838" s="19"/>
      <c r="H838" s="19"/>
    </row>
    <row r="839">
      <c r="A839" s="22"/>
      <c r="G839" s="19"/>
      <c r="H839" s="19"/>
    </row>
    <row r="840">
      <c r="A840" s="22"/>
      <c r="G840" s="19"/>
      <c r="H840" s="19"/>
    </row>
    <row r="841">
      <c r="A841" s="22"/>
      <c r="G841" s="19"/>
      <c r="H841" s="19"/>
    </row>
    <row r="842">
      <c r="A842" s="22"/>
      <c r="G842" s="19"/>
      <c r="H842" s="19"/>
    </row>
    <row r="843">
      <c r="A843" s="22"/>
      <c r="G843" s="19"/>
      <c r="H843" s="19"/>
    </row>
    <row r="844">
      <c r="A844" s="22"/>
      <c r="G844" s="19"/>
      <c r="H844" s="19"/>
    </row>
    <row r="845">
      <c r="A845" s="22"/>
      <c r="G845" s="19"/>
      <c r="H845" s="19"/>
    </row>
    <row r="846">
      <c r="A846" s="22"/>
      <c r="G846" s="19"/>
      <c r="H846" s="19"/>
    </row>
    <row r="847">
      <c r="A847" s="22"/>
      <c r="G847" s="19"/>
      <c r="H847" s="19"/>
    </row>
    <row r="848">
      <c r="A848" s="22"/>
      <c r="G848" s="19"/>
      <c r="H848" s="19"/>
    </row>
    <row r="849">
      <c r="A849" s="22"/>
      <c r="G849" s="19"/>
      <c r="H849" s="19"/>
    </row>
    <row r="850">
      <c r="A850" s="22"/>
      <c r="G850" s="19"/>
      <c r="H850" s="19"/>
    </row>
    <row r="851">
      <c r="A851" s="22"/>
      <c r="G851" s="19"/>
      <c r="H851" s="19"/>
    </row>
    <row r="852">
      <c r="A852" s="22"/>
      <c r="G852" s="19"/>
      <c r="H852" s="19"/>
    </row>
    <row r="853">
      <c r="A853" s="22"/>
      <c r="G853" s="19"/>
      <c r="H853" s="19"/>
    </row>
    <row r="854">
      <c r="A854" s="22"/>
      <c r="G854" s="19"/>
      <c r="H854" s="19"/>
    </row>
    <row r="855">
      <c r="A855" s="22"/>
      <c r="G855" s="19"/>
      <c r="H855" s="19"/>
    </row>
    <row r="856">
      <c r="A856" s="22"/>
      <c r="G856" s="19"/>
      <c r="H856" s="19"/>
    </row>
    <row r="857">
      <c r="A857" s="22"/>
      <c r="G857" s="19"/>
      <c r="H857" s="19"/>
    </row>
    <row r="858">
      <c r="A858" s="22"/>
      <c r="G858" s="19"/>
      <c r="H858" s="19"/>
    </row>
    <row r="859">
      <c r="A859" s="22"/>
      <c r="G859" s="19"/>
      <c r="H859" s="19"/>
    </row>
    <row r="860">
      <c r="A860" s="22"/>
      <c r="G860" s="19"/>
      <c r="H860" s="19"/>
    </row>
    <row r="861">
      <c r="A861" s="22"/>
      <c r="G861" s="19"/>
      <c r="H861" s="19"/>
    </row>
    <row r="862">
      <c r="A862" s="22"/>
      <c r="G862" s="19"/>
      <c r="H862" s="19"/>
    </row>
    <row r="863">
      <c r="A863" s="22"/>
      <c r="G863" s="19"/>
      <c r="H863" s="19"/>
    </row>
    <row r="864">
      <c r="A864" s="22"/>
      <c r="G864" s="19"/>
      <c r="H864" s="19"/>
    </row>
    <row r="865">
      <c r="A865" s="22"/>
      <c r="G865" s="19"/>
      <c r="H865" s="19"/>
    </row>
    <row r="866">
      <c r="A866" s="22"/>
      <c r="G866" s="19"/>
      <c r="H866" s="19"/>
    </row>
    <row r="867">
      <c r="A867" s="22"/>
      <c r="G867" s="19"/>
      <c r="H867" s="19"/>
    </row>
    <row r="868">
      <c r="A868" s="22"/>
      <c r="G868" s="19"/>
      <c r="H868" s="19"/>
    </row>
    <row r="869">
      <c r="A869" s="22"/>
      <c r="G869" s="19"/>
      <c r="H869" s="19"/>
    </row>
    <row r="870">
      <c r="A870" s="22"/>
      <c r="G870" s="19"/>
      <c r="H870" s="19"/>
    </row>
    <row r="871">
      <c r="A871" s="22"/>
      <c r="G871" s="19"/>
      <c r="H871" s="19"/>
    </row>
    <row r="872">
      <c r="A872" s="22"/>
      <c r="G872" s="19"/>
      <c r="H872" s="19"/>
    </row>
    <row r="873">
      <c r="A873" s="22"/>
      <c r="G873" s="19"/>
      <c r="H873" s="19"/>
    </row>
    <row r="874">
      <c r="A874" s="22"/>
      <c r="G874" s="19"/>
      <c r="H874" s="19"/>
    </row>
    <row r="875">
      <c r="A875" s="22"/>
      <c r="G875" s="19"/>
      <c r="H875" s="19"/>
    </row>
    <row r="876">
      <c r="A876" s="22"/>
      <c r="G876" s="19"/>
      <c r="H876" s="19"/>
    </row>
    <row r="877">
      <c r="A877" s="22"/>
      <c r="G877" s="19"/>
      <c r="H877" s="19"/>
    </row>
    <row r="878">
      <c r="A878" s="22"/>
      <c r="G878" s="19"/>
      <c r="H878" s="19"/>
    </row>
    <row r="879">
      <c r="A879" s="22"/>
      <c r="G879" s="19"/>
      <c r="H879" s="19"/>
    </row>
    <row r="880">
      <c r="A880" s="22"/>
      <c r="G880" s="19"/>
      <c r="H880" s="19"/>
    </row>
    <row r="881">
      <c r="A881" s="22"/>
      <c r="G881" s="19"/>
      <c r="H881" s="19"/>
    </row>
    <row r="882">
      <c r="A882" s="22"/>
      <c r="G882" s="19"/>
      <c r="H882" s="19"/>
    </row>
    <row r="883">
      <c r="A883" s="22"/>
      <c r="G883" s="19"/>
      <c r="H883" s="19"/>
    </row>
    <row r="884">
      <c r="A884" s="22"/>
      <c r="G884" s="19"/>
      <c r="H884" s="19"/>
    </row>
    <row r="885">
      <c r="A885" s="22"/>
      <c r="G885" s="19"/>
      <c r="H885" s="19"/>
    </row>
    <row r="886">
      <c r="A886" s="22"/>
      <c r="G886" s="19"/>
      <c r="H886" s="19"/>
    </row>
    <row r="887">
      <c r="A887" s="22"/>
      <c r="G887" s="19"/>
      <c r="H887" s="19"/>
    </row>
    <row r="888">
      <c r="A888" s="22"/>
      <c r="G888" s="19"/>
      <c r="H888" s="19"/>
    </row>
    <row r="889">
      <c r="A889" s="22"/>
      <c r="G889" s="19"/>
      <c r="H889" s="19"/>
    </row>
    <row r="890">
      <c r="A890" s="22"/>
      <c r="G890" s="19"/>
      <c r="H890" s="19"/>
    </row>
    <row r="891">
      <c r="A891" s="22"/>
      <c r="G891" s="19"/>
      <c r="H891" s="19"/>
    </row>
    <row r="892">
      <c r="A892" s="22"/>
      <c r="G892" s="19"/>
      <c r="H892" s="19"/>
    </row>
    <row r="893">
      <c r="A893" s="22"/>
      <c r="G893" s="19"/>
      <c r="H893" s="19"/>
    </row>
    <row r="894">
      <c r="A894" s="22"/>
      <c r="G894" s="19"/>
      <c r="H894" s="19"/>
    </row>
    <row r="895">
      <c r="A895" s="22"/>
      <c r="G895" s="19"/>
      <c r="H895" s="19"/>
    </row>
    <row r="896">
      <c r="A896" s="22"/>
      <c r="G896" s="19"/>
      <c r="H896" s="19"/>
    </row>
    <row r="897">
      <c r="A897" s="22"/>
      <c r="G897" s="19"/>
      <c r="H897" s="19"/>
    </row>
    <row r="898">
      <c r="A898" s="22"/>
      <c r="G898" s="19"/>
      <c r="H898" s="19"/>
    </row>
    <row r="899">
      <c r="A899" s="22"/>
      <c r="G899" s="19"/>
      <c r="H899" s="19"/>
    </row>
    <row r="900">
      <c r="A900" s="22"/>
      <c r="G900" s="19"/>
      <c r="H900" s="19"/>
    </row>
    <row r="901">
      <c r="A901" s="22"/>
      <c r="G901" s="19"/>
      <c r="H901" s="19"/>
    </row>
    <row r="902">
      <c r="A902" s="22"/>
      <c r="G902" s="19"/>
      <c r="H902" s="19"/>
    </row>
    <row r="903">
      <c r="A903" s="22"/>
      <c r="G903" s="19"/>
      <c r="H903" s="19"/>
    </row>
    <row r="904">
      <c r="A904" s="22"/>
      <c r="G904" s="19"/>
      <c r="H904" s="19"/>
    </row>
    <row r="905">
      <c r="A905" s="22"/>
      <c r="G905" s="19"/>
      <c r="H905" s="19"/>
    </row>
    <row r="906">
      <c r="A906" s="22"/>
      <c r="G906" s="19"/>
      <c r="H906" s="19"/>
    </row>
    <row r="907">
      <c r="A907" s="22"/>
      <c r="G907" s="19"/>
      <c r="H907" s="19"/>
    </row>
    <row r="908">
      <c r="A908" s="22"/>
      <c r="G908" s="19"/>
      <c r="H908" s="19"/>
    </row>
    <row r="909">
      <c r="A909" s="22"/>
      <c r="G909" s="19"/>
      <c r="H909" s="19"/>
    </row>
    <row r="910">
      <c r="A910" s="22"/>
      <c r="G910" s="19"/>
      <c r="H910" s="19"/>
    </row>
    <row r="911">
      <c r="A911" s="22"/>
      <c r="G911" s="19"/>
      <c r="H911" s="19"/>
    </row>
    <row r="912">
      <c r="A912" s="22"/>
      <c r="G912" s="19"/>
      <c r="H912" s="19"/>
    </row>
    <row r="913">
      <c r="A913" s="22"/>
      <c r="G913" s="19"/>
      <c r="H913" s="19"/>
    </row>
    <row r="914">
      <c r="A914" s="22"/>
      <c r="G914" s="19"/>
      <c r="H914" s="19"/>
    </row>
    <row r="915">
      <c r="A915" s="22"/>
      <c r="G915" s="19"/>
      <c r="H915" s="19"/>
    </row>
    <row r="916">
      <c r="A916" s="22"/>
      <c r="G916" s="19"/>
      <c r="H916" s="19"/>
    </row>
    <row r="917">
      <c r="A917" s="22"/>
      <c r="G917" s="19"/>
      <c r="H917" s="19"/>
    </row>
    <row r="918">
      <c r="A918" s="22"/>
      <c r="G918" s="19"/>
      <c r="H918" s="19"/>
    </row>
    <row r="919">
      <c r="A919" s="22"/>
      <c r="G919" s="19"/>
      <c r="H919" s="19"/>
    </row>
    <row r="920">
      <c r="A920" s="22"/>
      <c r="G920" s="19"/>
      <c r="H920" s="19"/>
    </row>
    <row r="921">
      <c r="A921" s="22"/>
      <c r="G921" s="19"/>
      <c r="H921" s="19"/>
    </row>
    <row r="922">
      <c r="A922" s="22"/>
      <c r="G922" s="19"/>
      <c r="H922" s="19"/>
    </row>
    <row r="923">
      <c r="A923" s="22"/>
      <c r="G923" s="19"/>
      <c r="H923" s="19"/>
    </row>
    <row r="924">
      <c r="A924" s="22"/>
      <c r="G924" s="19"/>
      <c r="H924" s="19"/>
    </row>
    <row r="925">
      <c r="A925" s="22"/>
      <c r="G925" s="19"/>
      <c r="H925" s="19"/>
    </row>
    <row r="926">
      <c r="A926" s="22"/>
      <c r="G926" s="19"/>
      <c r="H926" s="19"/>
    </row>
    <row r="927">
      <c r="A927" s="22"/>
      <c r="G927" s="19"/>
      <c r="H927" s="19"/>
    </row>
    <row r="928">
      <c r="A928" s="22"/>
      <c r="G928" s="19"/>
      <c r="H928" s="19"/>
    </row>
    <row r="929">
      <c r="A929" s="22"/>
      <c r="G929" s="19"/>
      <c r="H929" s="19"/>
    </row>
    <row r="930">
      <c r="A930" s="22"/>
      <c r="G930" s="19"/>
      <c r="H930" s="19"/>
    </row>
    <row r="931">
      <c r="A931" s="22"/>
      <c r="G931" s="19"/>
      <c r="H931" s="19"/>
    </row>
    <row r="932">
      <c r="A932" s="22"/>
      <c r="G932" s="19"/>
      <c r="H932" s="19"/>
    </row>
    <row r="933">
      <c r="A933" s="22"/>
      <c r="G933" s="19"/>
      <c r="H933" s="19"/>
    </row>
    <row r="934">
      <c r="A934" s="22"/>
      <c r="G934" s="19"/>
      <c r="H934" s="19"/>
    </row>
    <row r="935">
      <c r="A935" s="22"/>
      <c r="G935" s="19"/>
      <c r="H935" s="19"/>
    </row>
    <row r="936">
      <c r="A936" s="22"/>
      <c r="G936" s="19"/>
      <c r="H936" s="19"/>
    </row>
    <row r="937">
      <c r="A937" s="22"/>
      <c r="G937" s="19"/>
      <c r="H937" s="19"/>
    </row>
    <row r="938">
      <c r="A938" s="22"/>
      <c r="G938" s="19"/>
      <c r="H938" s="19"/>
    </row>
    <row r="939">
      <c r="A939" s="22"/>
      <c r="G939" s="19"/>
      <c r="H939" s="19"/>
    </row>
    <row r="940">
      <c r="A940" s="22"/>
      <c r="G940" s="19"/>
      <c r="H940" s="19"/>
    </row>
    <row r="941">
      <c r="A941" s="22"/>
      <c r="G941" s="19"/>
      <c r="H941" s="19"/>
    </row>
    <row r="942">
      <c r="A942" s="22"/>
      <c r="G942" s="19"/>
      <c r="H942" s="19"/>
    </row>
    <row r="943">
      <c r="A943" s="22"/>
      <c r="G943" s="19"/>
      <c r="H943" s="19"/>
    </row>
    <row r="944">
      <c r="A944" s="22"/>
      <c r="G944" s="19"/>
      <c r="H944" s="19"/>
    </row>
    <row r="945">
      <c r="A945" s="22"/>
      <c r="G945" s="19"/>
      <c r="H945" s="19"/>
    </row>
    <row r="946">
      <c r="A946" s="22"/>
      <c r="G946" s="19"/>
      <c r="H946" s="19"/>
    </row>
    <row r="947">
      <c r="A947" s="22"/>
      <c r="G947" s="19"/>
      <c r="H947" s="19"/>
    </row>
    <row r="948">
      <c r="A948" s="22"/>
      <c r="G948" s="19"/>
      <c r="H948" s="19"/>
    </row>
    <row r="949">
      <c r="A949" s="22"/>
      <c r="G949" s="19"/>
      <c r="H949" s="19"/>
    </row>
    <row r="950">
      <c r="A950" s="22"/>
      <c r="G950" s="19"/>
      <c r="H950" s="19"/>
    </row>
    <row r="951">
      <c r="A951" s="22"/>
      <c r="G951" s="19"/>
      <c r="H951" s="19"/>
    </row>
    <row r="952">
      <c r="A952" s="22"/>
      <c r="G952" s="19"/>
      <c r="H952" s="19"/>
    </row>
    <row r="953">
      <c r="A953" s="22"/>
      <c r="G953" s="19"/>
      <c r="H953" s="19"/>
    </row>
    <row r="954">
      <c r="A954" s="22"/>
      <c r="G954" s="19"/>
      <c r="H954" s="19"/>
    </row>
    <row r="955">
      <c r="A955" s="22"/>
      <c r="G955" s="19"/>
      <c r="H955" s="19"/>
    </row>
    <row r="956">
      <c r="A956" s="22"/>
      <c r="G956" s="19"/>
      <c r="H956" s="19"/>
    </row>
    <row r="957">
      <c r="A957" s="22"/>
      <c r="G957" s="19"/>
      <c r="H957" s="19"/>
    </row>
    <row r="958">
      <c r="A958" s="22"/>
      <c r="G958" s="19"/>
      <c r="H958" s="19"/>
    </row>
    <row r="959">
      <c r="A959" s="22"/>
      <c r="G959" s="19"/>
      <c r="H959" s="19"/>
    </row>
    <row r="960">
      <c r="A960" s="22"/>
      <c r="G960" s="19"/>
      <c r="H960" s="19"/>
    </row>
    <row r="961">
      <c r="A961" s="22"/>
      <c r="G961" s="19"/>
      <c r="H961" s="19"/>
    </row>
    <row r="962">
      <c r="A962" s="22"/>
      <c r="G962" s="19"/>
      <c r="H962" s="19"/>
    </row>
    <row r="963">
      <c r="A963" s="22"/>
      <c r="G963" s="19"/>
      <c r="H963" s="19"/>
    </row>
    <row r="964">
      <c r="A964" s="22"/>
      <c r="G964" s="19"/>
      <c r="H964" s="19"/>
    </row>
    <row r="965">
      <c r="A965" s="22"/>
      <c r="G965" s="19"/>
      <c r="H965" s="19"/>
    </row>
    <row r="966">
      <c r="A966" s="22"/>
      <c r="G966" s="19"/>
      <c r="H966" s="19"/>
    </row>
    <row r="967">
      <c r="A967" s="22"/>
      <c r="G967" s="19"/>
      <c r="H967" s="19"/>
    </row>
    <row r="968">
      <c r="A968" s="22"/>
      <c r="G968" s="19"/>
      <c r="H968" s="19"/>
    </row>
    <row r="969">
      <c r="A969" s="22"/>
      <c r="G969" s="19"/>
      <c r="H969" s="19"/>
    </row>
    <row r="970">
      <c r="A970" s="22"/>
      <c r="G970" s="19"/>
      <c r="H970" s="19"/>
    </row>
    <row r="971">
      <c r="A971" s="22"/>
      <c r="G971" s="19"/>
      <c r="H971" s="19"/>
    </row>
    <row r="972">
      <c r="A972" s="22"/>
      <c r="G972" s="19"/>
      <c r="H972" s="19"/>
    </row>
    <row r="973">
      <c r="A973" s="22"/>
      <c r="G973" s="19"/>
      <c r="H973" s="19"/>
    </row>
    <row r="974">
      <c r="A974" s="22"/>
      <c r="G974" s="19"/>
      <c r="H974" s="19"/>
    </row>
    <row r="975">
      <c r="A975" s="22"/>
      <c r="G975" s="19"/>
      <c r="H975" s="19"/>
    </row>
    <row r="976">
      <c r="A976" s="22"/>
      <c r="G976" s="19"/>
      <c r="H976" s="19"/>
    </row>
    <row r="977">
      <c r="A977" s="22"/>
      <c r="G977" s="19"/>
      <c r="H977" s="19"/>
    </row>
    <row r="978">
      <c r="A978" s="22"/>
      <c r="G978" s="19"/>
      <c r="H978" s="19"/>
    </row>
    <row r="979">
      <c r="A979" s="22"/>
      <c r="G979" s="19"/>
      <c r="H979" s="19"/>
    </row>
    <row r="980">
      <c r="A980" s="22"/>
      <c r="G980" s="19"/>
      <c r="H980" s="19"/>
    </row>
    <row r="981">
      <c r="A981" s="22"/>
      <c r="G981" s="19"/>
      <c r="H981" s="19"/>
    </row>
    <row r="982">
      <c r="A982" s="22"/>
      <c r="G982" s="19"/>
      <c r="H982" s="19"/>
    </row>
    <row r="983">
      <c r="A983" s="22"/>
      <c r="G983" s="19"/>
      <c r="H983" s="19"/>
    </row>
    <row r="984">
      <c r="A984" s="22"/>
      <c r="G984" s="19"/>
      <c r="H984" s="19"/>
    </row>
    <row r="985">
      <c r="A985" s="22"/>
      <c r="G985" s="19"/>
      <c r="H985" s="19"/>
    </row>
    <row r="986">
      <c r="A986" s="22"/>
      <c r="G986" s="19"/>
      <c r="H986" s="19"/>
    </row>
    <row r="987">
      <c r="A987" s="22"/>
      <c r="G987" s="19"/>
      <c r="H987" s="19"/>
    </row>
    <row r="988">
      <c r="A988" s="22"/>
      <c r="G988" s="19"/>
      <c r="H988" s="19"/>
    </row>
    <row r="989">
      <c r="A989" s="22"/>
      <c r="G989" s="19"/>
      <c r="H989" s="19"/>
    </row>
    <row r="990">
      <c r="A990" s="22"/>
      <c r="G990" s="19"/>
      <c r="H990" s="19"/>
    </row>
    <row r="991">
      <c r="A991" s="22"/>
      <c r="G991" s="19"/>
      <c r="H991" s="19"/>
    </row>
    <row r="992">
      <c r="A992" s="22"/>
      <c r="G992" s="19"/>
      <c r="H992" s="19"/>
    </row>
    <row r="993">
      <c r="A993" s="22"/>
      <c r="G993" s="19"/>
      <c r="H993" s="19"/>
    </row>
    <row r="994">
      <c r="A994" s="22"/>
      <c r="G994" s="19"/>
      <c r="H994" s="19"/>
    </row>
    <row r="995">
      <c r="A995" s="22"/>
      <c r="G995" s="19"/>
      <c r="H995" s="19"/>
    </row>
    <row r="996">
      <c r="A996" s="22"/>
      <c r="G996" s="19"/>
      <c r="H996" s="19"/>
    </row>
    <row r="997">
      <c r="A997" s="22"/>
      <c r="G997" s="19"/>
      <c r="H997" s="19"/>
    </row>
    <row r="998">
      <c r="A998" s="22"/>
      <c r="G998" s="19"/>
      <c r="H998" s="19"/>
    </row>
    <row r="999">
      <c r="A999" s="22"/>
      <c r="G999" s="19"/>
      <c r="H999" s="19"/>
    </row>
    <row r="1000">
      <c r="A1000" s="22"/>
      <c r="G1000" s="19"/>
      <c r="H1000"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s>
  <sheetData>
    <row r="1">
      <c r="A1" s="12" t="s">
        <v>0</v>
      </c>
      <c r="B1" s="23" t="s">
        <v>970</v>
      </c>
      <c r="C1" s="23" t="s">
        <v>962</v>
      </c>
      <c r="E1" s="24"/>
      <c r="F1" s="25" t="s">
        <v>970</v>
      </c>
      <c r="G1" s="25" t="s">
        <v>962</v>
      </c>
    </row>
    <row r="2">
      <c r="A2" s="16">
        <v>46090.0</v>
      </c>
      <c r="B2" s="19">
        <f>VLOOKUP(A2,'Data preparation'!A:K,6,0)</f>
        <v>0.001100352113</v>
      </c>
      <c r="C2" s="19">
        <f>VLOOKUP(A2,'Data preparation'!A:K,7,0)</f>
        <v>0.009399518372</v>
      </c>
      <c r="E2" s="26" t="s">
        <v>971</v>
      </c>
      <c r="F2" s="27">
        <f t="shared" ref="F2:G2" si="1">MAX(B:B)</f>
        <v>0.1108339548</v>
      </c>
      <c r="G2" s="27">
        <f t="shared" si="1"/>
        <v>0.1332209942</v>
      </c>
    </row>
    <row r="3">
      <c r="A3" s="16">
        <v>46083.0</v>
      </c>
      <c r="B3" s="19">
        <f>VLOOKUP(A3,'Data preparation'!A:K,6,0)</f>
        <v>0.04129958751</v>
      </c>
      <c r="C3" s="19">
        <f>VLOOKUP(A3,'Data preparation'!A:K,7,0)</f>
        <v>-0.02543720191</v>
      </c>
      <c r="E3" s="26" t="s">
        <v>972</v>
      </c>
      <c r="F3" s="27">
        <f t="shared" ref="F3:G3" si="2">MIN(B:B)</f>
        <v>-0.0765342339</v>
      </c>
      <c r="G3" s="27">
        <f t="shared" si="2"/>
        <v>-0.1354690021</v>
      </c>
    </row>
    <row r="4">
      <c r="A4" s="16">
        <v>46076.0</v>
      </c>
      <c r="B4" s="19">
        <f>VLOOKUP(A4,'Data preparation'!A:K,6,0)</f>
        <v>-0.009058108142</v>
      </c>
      <c r="C4" s="19">
        <f>VLOOKUP(A4,'Data preparation'!A:K,7,0)</f>
        <v>-0.00151183007</v>
      </c>
      <c r="E4" s="26" t="s">
        <v>973</v>
      </c>
      <c r="F4" s="27">
        <f t="shared" ref="F4:G4" si="3">F2-F3</f>
        <v>0.1873681887</v>
      </c>
      <c r="G4" s="27">
        <f t="shared" si="3"/>
        <v>0.2686899963</v>
      </c>
    </row>
    <row r="5">
      <c r="A5" s="16">
        <v>46069.0</v>
      </c>
      <c r="B5" s="19">
        <f>VLOOKUP(A5,'Data preparation'!A:K,6,0)</f>
        <v>-0.01018955571</v>
      </c>
      <c r="C5" s="19">
        <f>VLOOKUP(A5,'Data preparation'!A:K,7,0)</f>
        <v>0.03537606637</v>
      </c>
      <c r="E5" s="26" t="s">
        <v>974</v>
      </c>
      <c r="F5" s="27">
        <f t="shared" ref="F5:G5" si="4">_xlfn.PERCENTILE.INC(B2:B54,0.75)</f>
        <v>0.01669908344</v>
      </c>
      <c r="G5" s="27">
        <f t="shared" si="4"/>
        <v>0.02866259553</v>
      </c>
    </row>
    <row r="6">
      <c r="A6" s="16">
        <v>46062.0</v>
      </c>
      <c r="B6" s="19">
        <f>VLOOKUP(A6,'Data preparation'!A:K,6,0)</f>
        <v>0.0004497413987</v>
      </c>
      <c r="C6" s="19">
        <f>VLOOKUP(A6,'Data preparation'!A:K,7,0)</f>
        <v>-0.08032822285</v>
      </c>
      <c r="E6" s="26" t="s">
        <v>975</v>
      </c>
      <c r="F6" s="27">
        <f t="shared" ref="F6:G6" si="5">_xlfn.PERCENTILE.INC(B2:B54,0.25)</f>
        <v>-0.01239919016</v>
      </c>
      <c r="G6" s="27">
        <f t="shared" si="5"/>
        <v>-0.01570933342</v>
      </c>
      <c r="H6" s="27"/>
    </row>
    <row r="7">
      <c r="A7" s="16">
        <v>46055.0</v>
      </c>
      <c r="B7" s="19">
        <f>VLOOKUP(A7,'Data preparation'!A:K,6,0)</f>
        <v>-0.06773660059</v>
      </c>
      <c r="C7" s="19">
        <f>VLOOKUP(A7,'Data preparation'!A:K,7,0)</f>
        <v>0.0718253356</v>
      </c>
      <c r="E7" s="26" t="s">
        <v>976</v>
      </c>
      <c r="F7" s="27">
        <f t="shared" ref="F7:G7" si="6">F5-F6</f>
        <v>0.0290982736</v>
      </c>
      <c r="G7" s="27">
        <f t="shared" si="6"/>
        <v>0.04437192895</v>
      </c>
    </row>
    <row r="8">
      <c r="A8" s="16">
        <v>46048.0</v>
      </c>
      <c r="B8" s="19">
        <f>VLOOKUP(A8,'Data preparation'!A:K,6,0)</f>
        <v>-0.0765342339</v>
      </c>
      <c r="C8" s="19">
        <f>VLOOKUP(A8,'Data preparation'!A:K,7,0)</f>
        <v>0.04612404665</v>
      </c>
      <c r="E8" s="28" t="s">
        <v>977</v>
      </c>
      <c r="F8" s="27">
        <f t="shared" ref="F8:G8" si="7">AVERAGE(B:B)</f>
        <v>0.001755037316</v>
      </c>
      <c r="G8" s="27">
        <f t="shared" si="7"/>
        <v>0.004796345226</v>
      </c>
    </row>
    <row r="9">
      <c r="A9" s="16">
        <v>46041.0</v>
      </c>
      <c r="B9" s="19">
        <f>VLOOKUP(A9,'Data preparation'!A:K,6,0)</f>
        <v>0.01325167281</v>
      </c>
      <c r="C9" s="19">
        <f>VLOOKUP(A9,'Data preparation'!A:K,7,0)</f>
        <v>-0.02930001175</v>
      </c>
      <c r="E9" s="28" t="s">
        <v>978</v>
      </c>
      <c r="F9" s="27">
        <f t="shared" ref="F9:G9" si="8">AVEDEV(B2:B54)*52/51</f>
        <v>0.02552006638</v>
      </c>
      <c r="G9" s="27">
        <f t="shared" si="8"/>
        <v>0.03217498168</v>
      </c>
    </row>
    <row r="10">
      <c r="A10" s="16">
        <v>46034.0</v>
      </c>
      <c r="B10" s="19">
        <f>VLOOKUP(A10,'Data preparation'!A:K,6,0)</f>
        <v>-0.04052782367</v>
      </c>
      <c r="C10" s="19">
        <f>VLOOKUP(A10,'Data preparation'!A:K,7,0)</f>
        <v>-0.01481881681</v>
      </c>
      <c r="E10" s="28" t="s">
        <v>979</v>
      </c>
      <c r="F10" s="27">
        <f t="shared" ref="F10:G10" si="9">_xlfn.VAR.S(B:B)</f>
        <v>0.001234698284</v>
      </c>
      <c r="G10" s="27">
        <f t="shared" si="9"/>
        <v>0.001869983798</v>
      </c>
    </row>
    <row r="11">
      <c r="A11" s="16">
        <v>46027.0</v>
      </c>
      <c r="B11" s="19">
        <f>VLOOKUP(A11,'Data preparation'!A:K,6,0)</f>
        <v>0.01341499597</v>
      </c>
      <c r="C11" s="19">
        <f>VLOOKUP(A11,'Data preparation'!A:K,7,0)</f>
        <v>-0.04295316886</v>
      </c>
      <c r="E11" s="28" t="s">
        <v>980</v>
      </c>
      <c r="F11" s="27">
        <f t="shared" ref="F11:G11" si="10">_xlfn.STDEV.S(B:B)</f>
        <v>0.03513827378</v>
      </c>
      <c r="G11" s="27">
        <f t="shared" si="10"/>
        <v>0.04324330928</v>
      </c>
    </row>
    <row r="12">
      <c r="A12" s="16">
        <v>46020.0</v>
      </c>
      <c r="B12" s="19">
        <f>VLOOKUP(A12,'Data preparation'!A:K,6,0)</f>
        <v>-0.0302918208</v>
      </c>
      <c r="C12" s="19">
        <f>VLOOKUP(A12,'Data preparation'!A:K,7,0)</f>
        <v>-0.008713480267</v>
      </c>
    </row>
    <row r="13">
      <c r="A13" s="16">
        <v>46013.0</v>
      </c>
      <c r="B13" s="19">
        <f>VLOOKUP(A13,'Data preparation'!A:K,6,0)</f>
        <v>0.003692168066</v>
      </c>
      <c r="C13" s="19">
        <f>VLOOKUP(A13,'Data preparation'!A:K,7,0)</f>
        <v>-0.0009875278885</v>
      </c>
    </row>
    <row r="14">
      <c r="A14" s="16">
        <v>46006.0</v>
      </c>
      <c r="B14" s="19">
        <f>VLOOKUP(A14,'Data preparation'!A:K,6,0)</f>
        <v>0.01543649464</v>
      </c>
      <c r="C14" s="19">
        <f>VLOOKUP(A14,'Data preparation'!A:K,7,0)</f>
        <v>-0.0165815409</v>
      </c>
    </row>
    <row r="15">
      <c r="A15" s="16">
        <v>45999.0</v>
      </c>
      <c r="B15" s="19">
        <f>VLOOKUP(A15,'Data preparation'!A:K,6,0)</f>
        <v>-0.009583869228</v>
      </c>
      <c r="C15" s="19">
        <f>VLOOKUP(A15,'Data preparation'!A:K,7,0)</f>
        <v>-0.001795203217</v>
      </c>
    </row>
    <row r="16">
      <c r="A16" s="16">
        <v>45992.0</v>
      </c>
      <c r="B16" s="19">
        <f>VLOOKUP(A16,'Data preparation'!A:K,6,0)</f>
        <v>-0.01798773656</v>
      </c>
      <c r="C16" s="19">
        <f>VLOOKUP(A16,'Data preparation'!A:K,7,0)</f>
        <v>-0.0002512653003</v>
      </c>
    </row>
    <row r="17">
      <c r="A17" s="16">
        <v>45985.0</v>
      </c>
      <c r="B17" s="19">
        <f>VLOOKUP(A17,'Data preparation'!A:K,6,0)</f>
        <v>0.04409137315</v>
      </c>
      <c r="C17" s="19">
        <f>VLOOKUP(A17,'Data preparation'!A:K,7,0)</f>
        <v>0.02709777319</v>
      </c>
    </row>
    <row r="18">
      <c r="A18" s="16">
        <v>45978.0</v>
      </c>
      <c r="B18" s="19">
        <f>VLOOKUP(A18,'Data preparation'!A:K,6,0)</f>
        <v>-0.07461570256</v>
      </c>
      <c r="C18" s="19">
        <f>VLOOKUP(A18,'Data preparation'!A:K,7,0)</f>
        <v>-0.002390672699</v>
      </c>
    </row>
    <row r="19">
      <c r="A19" s="16">
        <v>45971.0</v>
      </c>
      <c r="B19" s="19">
        <f>VLOOKUP(A19,'Data preparation'!A:K,6,0)</f>
        <v>0.02690193225</v>
      </c>
      <c r="C19" s="19">
        <f>VLOOKUP(A19,'Data preparation'!A:K,7,0)</f>
        <v>0.01466636811</v>
      </c>
    </row>
    <row r="20">
      <c r="A20" s="16">
        <v>45964.0</v>
      </c>
      <c r="B20" s="19">
        <f>VLOOKUP(A20,'Data preparation'!A:K,6,0)</f>
        <v>-0.04054918843</v>
      </c>
      <c r="C20" s="19">
        <f>VLOOKUP(A20,'Data preparation'!A:K,7,0)</f>
        <v>-0.007040687764</v>
      </c>
    </row>
    <row r="21">
      <c r="A21" s="16">
        <v>45957.0</v>
      </c>
      <c r="B21" s="19">
        <f>VLOOKUP(A21,'Data preparation'!A:K,6,0)</f>
        <v>-0.01106551089</v>
      </c>
      <c r="C21" s="19">
        <f>VLOOKUP(A21,'Data preparation'!A:K,7,0)</f>
        <v>0.02874351937</v>
      </c>
    </row>
    <row r="22">
      <c r="A22" s="16">
        <v>45950.0</v>
      </c>
      <c r="B22" s="19">
        <f>VLOOKUP(A22,'Data preparation'!A:K,6,0)</f>
        <v>0.01953270114</v>
      </c>
      <c r="C22" s="19">
        <f>VLOOKUP(A22,'Data preparation'!A:K,7,0)</f>
        <v>0.0417378182</v>
      </c>
    </row>
    <row r="23">
      <c r="A23" s="16">
        <v>45943.0</v>
      </c>
      <c r="B23" s="19">
        <f>VLOOKUP(A23,'Data preparation'!A:K,6,0)</f>
        <v>0.005129313733</v>
      </c>
      <c r="C23" s="19">
        <f>VLOOKUP(A23,'Data preparation'!A:K,7,0)</f>
        <v>0.02863562092</v>
      </c>
    </row>
    <row r="24">
      <c r="A24" s="16">
        <v>45936.0</v>
      </c>
      <c r="B24" s="19">
        <f>VLOOKUP(A24,'Data preparation'!A:K,6,0)</f>
        <v>-0.01236389045</v>
      </c>
      <c r="C24" s="19">
        <f>VLOOKUP(A24,'Data preparation'!A:K,7,0)</f>
        <v>-0.04943113424</v>
      </c>
    </row>
    <row r="25">
      <c r="A25" s="16">
        <v>45929.0</v>
      </c>
      <c r="B25" s="19">
        <f>VLOOKUP(A25,'Data preparation'!A:K,6,0)</f>
        <v>0.01152471826</v>
      </c>
      <c r="C25" s="19">
        <f>VLOOKUP(A25,'Data preparation'!A:K,7,0)</f>
        <v>0.01004039691</v>
      </c>
    </row>
    <row r="26">
      <c r="A26" s="16">
        <v>45922.0</v>
      </c>
      <c r="B26" s="19">
        <f>VLOOKUP(A26,'Data preparation'!A:K,6,0)</f>
        <v>-0.01250508928</v>
      </c>
      <c r="C26" s="19">
        <f>VLOOKUP(A26,'Data preparation'!A:K,7,0)</f>
        <v>0.04056646125</v>
      </c>
    </row>
    <row r="27">
      <c r="A27" s="16">
        <v>45915.0</v>
      </c>
      <c r="B27" s="19">
        <f>VLOOKUP(A27,'Data preparation'!A:K,6,0)</f>
        <v>0.0157545442</v>
      </c>
      <c r="C27" s="19">
        <f>VLOOKUP(A27,'Data preparation'!A:K,7,0)</f>
        <v>0.04883999658</v>
      </c>
    </row>
    <row r="28">
      <c r="A28" s="16">
        <v>45908.0</v>
      </c>
      <c r="B28" s="19">
        <f>VLOOKUP(A28,'Data preparation'!A:K,6,0)</f>
        <v>0.03010447307</v>
      </c>
      <c r="C28" s="19">
        <f>VLOOKUP(A28,'Data preparation'!A:K,7,0)</f>
        <v>-0.02345023617</v>
      </c>
    </row>
    <row r="29">
      <c r="A29" s="16">
        <v>45901.0</v>
      </c>
      <c r="B29" s="19">
        <f>VLOOKUP(A29,'Data preparation'!A:K,6,0)</f>
        <v>-0.02306823362</v>
      </c>
      <c r="C29" s="19">
        <f>VLOOKUP(A29,'Data preparation'!A:K,7,0)</f>
        <v>0.03249892102</v>
      </c>
    </row>
    <row r="30">
      <c r="A30" s="16">
        <v>45894.0</v>
      </c>
      <c r="B30" s="19">
        <f>VLOOKUP(A30,'Data preparation'!A:K,6,0)</f>
        <v>0.000575054531</v>
      </c>
      <c r="C30" s="19">
        <f>VLOOKUP(A30,'Data preparation'!A:K,7,0)</f>
        <v>0.01922315576</v>
      </c>
    </row>
    <row r="31">
      <c r="A31" s="16">
        <v>45887.0</v>
      </c>
      <c r="B31" s="19">
        <f>VLOOKUP(A31,'Data preparation'!A:K,6,0)</f>
        <v>-0.02488543419</v>
      </c>
      <c r="C31" s="19">
        <f>VLOOKUP(A31,'Data preparation'!A:K,7,0)</f>
        <v>-0.0154185976</v>
      </c>
    </row>
    <row r="32">
      <c r="A32" s="16">
        <v>45880.0</v>
      </c>
      <c r="B32" s="19">
        <f>VLOOKUP(A32,'Data preparation'!A:K,6,0)</f>
        <v>-0.003564409849</v>
      </c>
      <c r="C32" s="19">
        <f>VLOOKUP(A32,'Data preparation'!A:K,7,0)</f>
        <v>0.009796632408</v>
      </c>
    </row>
    <row r="33">
      <c r="A33" s="16">
        <v>45873.0</v>
      </c>
      <c r="B33" s="19">
        <f>VLOOKUP(A33,'Data preparation'!A:K,6,0)</f>
        <v>-0.003953327704</v>
      </c>
      <c r="C33" s="19">
        <f>VLOOKUP(A33,'Data preparation'!A:K,7,0)</f>
        <v>0.1332209942</v>
      </c>
    </row>
    <row r="34">
      <c r="A34" s="16">
        <v>45866.0</v>
      </c>
      <c r="B34" s="19">
        <f>VLOOKUP(A34,'Data preparation'!A:K,6,0)</f>
        <v>0.02024513451</v>
      </c>
      <c r="C34" s="19">
        <f>VLOOKUP(A34,'Data preparation'!A:K,7,0)</f>
        <v>-0.05374478263</v>
      </c>
    </row>
    <row r="35">
      <c r="A35" s="16">
        <v>45859.0</v>
      </c>
      <c r="B35" s="19">
        <f>VLOOKUP(A35,'Data preparation'!A:K,6,0)</f>
        <v>0.007178071386</v>
      </c>
      <c r="C35" s="19">
        <f>VLOOKUP(A35,'Data preparation'!A:K,7,0)</f>
        <v>0.01277666952</v>
      </c>
    </row>
    <row r="36">
      <c r="A36" s="16">
        <v>45852.0</v>
      </c>
      <c r="B36" s="19">
        <f>VLOOKUP(A36,'Data preparation'!A:K,6,0)</f>
        <v>0.01336903739</v>
      </c>
      <c r="C36" s="19">
        <f>VLOOKUP(A36,'Data preparation'!A:K,7,0)</f>
        <v>0.00009500285009</v>
      </c>
    </row>
    <row r="37">
      <c r="A37" s="16">
        <v>45845.0</v>
      </c>
      <c r="B37" s="19">
        <f>VLOOKUP(A37,'Data preparation'!A:K,6,0)</f>
        <v>0.008972497782</v>
      </c>
      <c r="C37" s="19">
        <f>VLOOKUP(A37,'Data preparation'!A:K,7,0)</f>
        <v>-0.01117895726</v>
      </c>
    </row>
    <row r="38">
      <c r="A38" s="16">
        <v>45838.0</v>
      </c>
      <c r="B38" s="19">
        <f>VLOOKUP(A38,'Data preparation'!A:K,6,0)</f>
        <v>0.005840837187</v>
      </c>
      <c r="C38" s="19">
        <f>VLOOKUP(A38,'Data preparation'!A:K,7,0)</f>
        <v>0.06200428992</v>
      </c>
    </row>
    <row r="39">
      <c r="A39" s="16">
        <v>45831.0</v>
      </c>
      <c r="B39" s="19">
        <f>VLOOKUP(A39,'Data preparation'!A:K,6,0)</f>
        <v>0.03885049722</v>
      </c>
      <c r="C39" s="19">
        <f>VLOOKUP(A39,'Data preparation'!A:K,7,0)</f>
        <v>0.000399221518</v>
      </c>
    </row>
    <row r="40">
      <c r="A40" s="16">
        <v>45824.0</v>
      </c>
      <c r="B40" s="19">
        <f>VLOOKUP(A40,'Data preparation'!A:K,6,0)</f>
        <v>0.005124729999</v>
      </c>
      <c r="C40" s="19">
        <f>VLOOKUP(A40,'Data preparation'!A:K,7,0)</f>
        <v>0.02318100587</v>
      </c>
    </row>
    <row r="41">
      <c r="A41" s="16">
        <v>45817.0</v>
      </c>
      <c r="B41" s="19">
        <f>VLOOKUP(A41,'Data preparation'!A:K,6,0)</f>
        <v>0.009750673566</v>
      </c>
      <c r="C41" s="19">
        <f>VLOOKUP(A41,'Data preparation'!A:K,7,0)</f>
        <v>-0.0366453517</v>
      </c>
    </row>
    <row r="42">
      <c r="A42" s="16">
        <v>45810.0</v>
      </c>
      <c r="B42" s="19">
        <f>VLOOKUP(A42,'Data preparation'!A:K,6,0)</f>
        <v>0.02176097881</v>
      </c>
      <c r="C42" s="19">
        <f>VLOOKUP(A42,'Data preparation'!A:K,7,0)</f>
        <v>0.01528166201</v>
      </c>
    </row>
    <row r="43">
      <c r="A43" s="16">
        <v>45803.0</v>
      </c>
      <c r="B43" s="19">
        <f>VLOOKUP(A43,'Data preparation'!A:K,6,0)</f>
        <v>0.02261048304</v>
      </c>
      <c r="C43" s="19">
        <f>VLOOKUP(A43,'Data preparation'!A:K,7,0)</f>
        <v>0.02855968769</v>
      </c>
    </row>
    <row r="44">
      <c r="A44" s="16">
        <v>45796.0</v>
      </c>
      <c r="B44" s="19">
        <f>VLOOKUP(A44,'Data preparation'!A:K,6,0)</f>
        <v>-0.007186903864</v>
      </c>
      <c r="C44" s="19">
        <f>VLOOKUP(A44,'Data preparation'!A:K,7,0)</f>
        <v>-0.07445088904</v>
      </c>
    </row>
    <row r="45">
      <c r="A45" s="16">
        <v>45789.0</v>
      </c>
      <c r="B45" s="19">
        <f>VLOOKUP(A45,'Data preparation'!A:K,6,0)</f>
        <v>0.03541570969</v>
      </c>
      <c r="C45" s="19">
        <f>VLOOKUP(A45,'Data preparation'!A:K,7,0)</f>
        <v>0.06409672687</v>
      </c>
    </row>
    <row r="46">
      <c r="A46" s="16">
        <v>45782.0</v>
      </c>
      <c r="B46" s="19">
        <f>VLOOKUP(A46,'Data preparation'!A:K,6,0)</f>
        <v>0.007940366229</v>
      </c>
      <c r="C46" s="19">
        <f>VLOOKUP(A46,'Data preparation'!A:K,7,0)</f>
        <v>-0.03320942972</v>
      </c>
    </row>
    <row r="47">
      <c r="A47" s="16">
        <v>45775.0</v>
      </c>
      <c r="B47" s="19">
        <f>VLOOKUP(A47,'Data preparation'!A:K,6,0)</f>
        <v>0.1108339548</v>
      </c>
      <c r="C47" s="19">
        <f>VLOOKUP(A47,'Data preparation'!A:K,7,0)</f>
        <v>-0.01876469741</v>
      </c>
    </row>
    <row r="48">
      <c r="A48" s="16">
        <v>45768.0</v>
      </c>
      <c r="B48" s="19">
        <f>VLOOKUP(A48,'Data preparation'!A:K,6,0)</f>
        <v>0.06542645004</v>
      </c>
      <c r="C48" s="19">
        <f>VLOOKUP(A48,'Data preparation'!A:K,7,0)</f>
        <v>0.0624075868</v>
      </c>
    </row>
    <row r="49">
      <c r="A49" s="16">
        <v>45761.0</v>
      </c>
      <c r="B49" s="19">
        <f>VLOOKUP(A49,'Data preparation'!A:K,6,0)</f>
        <v>-0.05320363165</v>
      </c>
      <c r="C49" s="19">
        <f>VLOOKUP(A49,'Data preparation'!A:K,7,0)</f>
        <v>-0.005879669522</v>
      </c>
    </row>
    <row r="50">
      <c r="A50" s="16">
        <v>45754.0</v>
      </c>
      <c r="B50" s="19">
        <f>VLOOKUP(A50,'Data preparation'!A:K,6,0)</f>
        <v>0.07949931394</v>
      </c>
      <c r="C50" s="19">
        <f>VLOOKUP(A50,'Data preparation'!A:K,7,0)</f>
        <v>0.05187673278</v>
      </c>
    </row>
    <row r="51">
      <c r="A51" s="16">
        <v>45747.0</v>
      </c>
      <c r="B51" s="19">
        <f>VLOOKUP(A51,'Data preparation'!A:K,6,0)</f>
        <v>-0.05003724197</v>
      </c>
      <c r="C51" s="19">
        <f>VLOOKUP(A51,'Data preparation'!A:K,7,0)</f>
        <v>-0.1354690021</v>
      </c>
    </row>
    <row r="52">
      <c r="A52" s="16">
        <v>45740.0</v>
      </c>
      <c r="B52" s="19">
        <f>VLOOKUP(A52,'Data preparation'!A:K,6,0)</f>
        <v>-0.03185763218</v>
      </c>
      <c r="C52" s="19">
        <f>VLOOKUP(A52,'Data preparation'!A:K,7,0)</f>
        <v>-0.001702558439</v>
      </c>
    </row>
    <row r="53">
      <c r="A53" s="16">
        <v>45733.0</v>
      </c>
      <c r="B53" s="19">
        <f>VLOOKUP(A53,'Data preparation'!A:K,6,0)</f>
        <v>0.00695002723</v>
      </c>
      <c r="C53" s="19">
        <f>VLOOKUP(A53,'Data preparation'!A:K,7,0)</f>
        <v>0.02239367708</v>
      </c>
    </row>
    <row r="54">
      <c r="A54" s="16">
        <v>45726.0</v>
      </c>
      <c r="B54" s="19" t="str">
        <f>VLOOKUP(A54,'Data preparation'!A:K,6,0)</f>
        <v/>
      </c>
      <c r="C54" s="19" t="str">
        <f>VLOOKUP(A54,'Data preparation'!A:K,7,0)</f>
        <v/>
      </c>
    </row>
    <row r="55">
      <c r="A55" s="16"/>
    </row>
    <row r="56">
      <c r="A56" s="20"/>
    </row>
    <row r="57">
      <c r="A57" s="21"/>
    </row>
    <row r="58">
      <c r="A58" s="21"/>
    </row>
    <row r="59">
      <c r="A59" s="20"/>
    </row>
    <row r="60">
      <c r="A60" s="20"/>
    </row>
    <row r="61">
      <c r="A61" s="20"/>
    </row>
    <row r="62">
      <c r="A62" s="20"/>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s>
  <sheetData>
    <row r="1">
      <c r="A1" s="12" t="s">
        <v>0</v>
      </c>
      <c r="B1" s="23" t="s">
        <v>970</v>
      </c>
      <c r="C1" s="23" t="s">
        <v>962</v>
      </c>
      <c r="E1" s="24"/>
      <c r="F1" s="25" t="s">
        <v>970</v>
      </c>
      <c r="G1" s="25" t="s">
        <v>962</v>
      </c>
    </row>
    <row r="2">
      <c r="A2" s="16">
        <v>46090.0</v>
      </c>
      <c r="B2" s="19">
        <f>VLOOKUP(A2,'Data preparation'!A:K,6,0)</f>
        <v>0.001100352113</v>
      </c>
      <c r="C2" s="19">
        <f>VLOOKUP(A2,'Data preparation'!A:K,7,0)</f>
        <v>0.009399518372</v>
      </c>
      <c r="E2" s="26" t="s">
        <v>971</v>
      </c>
      <c r="F2" s="27">
        <f t="shared" ref="F2:G2" si="1">MAX(B:B)</f>
        <v>0.1108339548</v>
      </c>
      <c r="G2" s="27">
        <f t="shared" si="1"/>
        <v>0.1332209942</v>
      </c>
    </row>
    <row r="3">
      <c r="A3" s="16">
        <v>46083.0</v>
      </c>
      <c r="B3" s="19">
        <f>VLOOKUP(A3,'Data preparation'!A:K,6,0)</f>
        <v>0.04129958751</v>
      </c>
      <c r="C3" s="19">
        <f>VLOOKUP(A3,'Data preparation'!A:K,7,0)</f>
        <v>-0.02543720191</v>
      </c>
      <c r="E3" s="29" t="s">
        <v>972</v>
      </c>
      <c r="F3" s="30">
        <f t="shared" ref="F3:G3" si="2">MIN(B:B)</f>
        <v>-0.0765342339</v>
      </c>
      <c r="G3" s="30">
        <f t="shared" si="2"/>
        <v>-0.1354690021</v>
      </c>
    </row>
    <row r="4">
      <c r="A4" s="16">
        <v>46076.0</v>
      </c>
      <c r="B4" s="19">
        <f>VLOOKUP(A4,'Data preparation'!A:K,6,0)</f>
        <v>-0.009058108142</v>
      </c>
      <c r="C4" s="19">
        <f>VLOOKUP(A4,'Data preparation'!A:K,7,0)</f>
        <v>-0.00151183007</v>
      </c>
      <c r="E4" s="31"/>
    </row>
    <row r="5">
      <c r="A5" s="16">
        <v>46069.0</v>
      </c>
      <c r="B5" s="19">
        <f>VLOOKUP(A5,'Data preparation'!A:K,6,0)</f>
        <v>-0.01018955571</v>
      </c>
      <c r="C5" s="19">
        <f>VLOOKUP(A5,'Data preparation'!A:K,7,0)</f>
        <v>0.03537606637</v>
      </c>
      <c r="E5" s="28" t="s">
        <v>977</v>
      </c>
      <c r="F5" s="27">
        <f t="shared" ref="F5:G5" si="3">AVERAGE(B:B)</f>
        <v>0.001755037316</v>
      </c>
      <c r="G5" s="27">
        <f t="shared" si="3"/>
        <v>0.004796345226</v>
      </c>
    </row>
    <row r="6">
      <c r="A6" s="16">
        <v>46062.0</v>
      </c>
      <c r="B6" s="19">
        <f>VLOOKUP(A6,'Data preparation'!A:K,6,0)</f>
        <v>0.0004497413987</v>
      </c>
      <c r="C6" s="19">
        <f>VLOOKUP(A6,'Data preparation'!A:K,7,0)</f>
        <v>-0.08032822285</v>
      </c>
      <c r="E6" s="28" t="s">
        <v>978</v>
      </c>
      <c r="F6" s="27">
        <f t="shared" ref="F6:G6" si="4">AVEDEV(B2:B54)*52/51</f>
        <v>0.02552006638</v>
      </c>
      <c r="G6" s="27">
        <f t="shared" si="4"/>
        <v>0.03217498168</v>
      </c>
      <c r="H6" s="19"/>
    </row>
    <row r="7">
      <c r="A7" s="16">
        <v>46055.0</v>
      </c>
      <c r="B7" s="19">
        <f>VLOOKUP(A7,'Data preparation'!A:K,6,0)</f>
        <v>-0.06773660059</v>
      </c>
      <c r="C7" s="19">
        <f>VLOOKUP(A7,'Data preparation'!A:K,7,0)</f>
        <v>0.0718253356</v>
      </c>
      <c r="E7" s="28" t="s">
        <v>979</v>
      </c>
      <c r="F7" s="27">
        <f t="shared" ref="F7:G7" si="5">_xlfn.VAR.S(B:B)</f>
        <v>0.001234698284</v>
      </c>
      <c r="G7" s="27">
        <f t="shared" si="5"/>
        <v>0.001869983798</v>
      </c>
    </row>
    <row r="8">
      <c r="A8" s="16">
        <v>46048.0</v>
      </c>
      <c r="B8" s="19">
        <f>VLOOKUP(A8,'Data preparation'!A:K,6,0)</f>
        <v>-0.0765342339</v>
      </c>
      <c r="C8" s="19">
        <f>VLOOKUP(A8,'Data preparation'!A:K,7,0)</f>
        <v>0.04612404665</v>
      </c>
      <c r="E8" s="28" t="s">
        <v>980</v>
      </c>
      <c r="F8" s="27">
        <f t="shared" ref="F8:G8" si="6">_xlfn.STDEV.S(B:B)</f>
        <v>0.03513827378</v>
      </c>
      <c r="G8" s="27">
        <f t="shared" si="6"/>
        <v>0.04324330928</v>
      </c>
    </row>
    <row r="9">
      <c r="A9" s="16">
        <v>46041.0</v>
      </c>
      <c r="B9" s="19">
        <f>VLOOKUP(A9,'Data preparation'!A:K,6,0)</f>
        <v>0.01325167281</v>
      </c>
      <c r="C9" s="19">
        <f>VLOOKUP(A9,'Data preparation'!A:K,7,0)</f>
        <v>-0.02930001175</v>
      </c>
    </row>
    <row r="10">
      <c r="A10" s="16">
        <v>46034.0</v>
      </c>
      <c r="B10" s="19">
        <f>VLOOKUP(A10,'Data preparation'!A:K,6,0)</f>
        <v>-0.04052782367</v>
      </c>
      <c r="C10" s="19">
        <f>VLOOKUP(A10,'Data preparation'!A:K,7,0)</f>
        <v>-0.01481881681</v>
      </c>
      <c r="E10" s="26" t="s">
        <v>981</v>
      </c>
      <c r="F10" s="32">
        <f t="shared" ref="F10:G10" si="7">(F3-F5)/F8</f>
        <v>-2.228034072</v>
      </c>
      <c r="G10" s="32">
        <f t="shared" si="7"/>
        <v>-3.243631203</v>
      </c>
    </row>
    <row r="11">
      <c r="A11" s="16">
        <v>46027.0</v>
      </c>
      <c r="B11" s="19">
        <f>VLOOKUP(A11,'Data preparation'!A:K,6,0)</f>
        <v>0.01341499597</v>
      </c>
      <c r="C11" s="19">
        <f>VLOOKUP(A11,'Data preparation'!A:K,7,0)</f>
        <v>-0.04295316886</v>
      </c>
      <c r="E11" s="26" t="s">
        <v>982</v>
      </c>
      <c r="F11" s="32">
        <f t="shared" ref="F11:G11" si="8">(F2-F5)/F8</f>
        <v>3.104276498</v>
      </c>
      <c r="G11" s="32">
        <f t="shared" si="8"/>
        <v>2.969815472</v>
      </c>
    </row>
    <row r="12">
      <c r="A12" s="16">
        <v>46020.0</v>
      </c>
      <c r="B12" s="19">
        <f>VLOOKUP(A12,'Data preparation'!A:K,6,0)</f>
        <v>-0.0302918208</v>
      </c>
      <c r="C12" s="19">
        <f>VLOOKUP(A12,'Data preparation'!A:K,7,0)</f>
        <v>-0.008713480267</v>
      </c>
    </row>
    <row r="13">
      <c r="A13" s="16">
        <v>46013.0</v>
      </c>
      <c r="B13" s="19">
        <f>VLOOKUP(A13,'Data preparation'!A:K,6,0)</f>
        <v>0.003692168066</v>
      </c>
      <c r="C13" s="19">
        <f>VLOOKUP(A13,'Data preparation'!A:K,7,0)</f>
        <v>-0.0009875278885</v>
      </c>
    </row>
    <row r="14">
      <c r="A14" s="16">
        <v>46006.0</v>
      </c>
      <c r="B14" s="19">
        <f>VLOOKUP(A14,'Data preparation'!A:K,6,0)</f>
        <v>0.01543649464</v>
      </c>
      <c r="C14" s="19">
        <f>VLOOKUP(A14,'Data preparation'!A:K,7,0)</f>
        <v>-0.0165815409</v>
      </c>
    </row>
    <row r="15">
      <c r="A15" s="16">
        <v>45999.0</v>
      </c>
      <c r="B15" s="19">
        <f>VLOOKUP(A15,'Data preparation'!A:K,6,0)</f>
        <v>-0.009583869228</v>
      </c>
      <c r="C15" s="19">
        <f>VLOOKUP(A15,'Data preparation'!A:K,7,0)</f>
        <v>-0.001795203217</v>
      </c>
    </row>
    <row r="16">
      <c r="A16" s="16">
        <v>45992.0</v>
      </c>
      <c r="B16" s="19">
        <f>VLOOKUP(A16,'Data preparation'!A:K,6,0)</f>
        <v>-0.01798773656</v>
      </c>
      <c r="C16" s="19">
        <f>VLOOKUP(A16,'Data preparation'!A:K,7,0)</f>
        <v>-0.0002512653003</v>
      </c>
    </row>
    <row r="17">
      <c r="A17" s="16">
        <v>45985.0</v>
      </c>
      <c r="B17" s="19">
        <f>VLOOKUP(A17,'Data preparation'!A:K,6,0)</f>
        <v>0.04409137315</v>
      </c>
      <c r="C17" s="19">
        <f>VLOOKUP(A17,'Data preparation'!A:K,7,0)</f>
        <v>0.02709777319</v>
      </c>
    </row>
    <row r="18">
      <c r="A18" s="16">
        <v>45978.0</v>
      </c>
      <c r="B18" s="19">
        <f>VLOOKUP(A18,'Data preparation'!A:K,6,0)</f>
        <v>-0.07461570256</v>
      </c>
      <c r="C18" s="19">
        <f>VLOOKUP(A18,'Data preparation'!A:K,7,0)</f>
        <v>-0.002390672699</v>
      </c>
    </row>
    <row r="19">
      <c r="A19" s="16">
        <v>45971.0</v>
      </c>
      <c r="B19" s="19">
        <f>VLOOKUP(A19,'Data preparation'!A:K,6,0)</f>
        <v>0.02690193225</v>
      </c>
      <c r="C19" s="19">
        <f>VLOOKUP(A19,'Data preparation'!A:K,7,0)</f>
        <v>0.01466636811</v>
      </c>
    </row>
    <row r="20">
      <c r="A20" s="16">
        <v>45964.0</v>
      </c>
      <c r="B20" s="19">
        <f>VLOOKUP(A20,'Data preparation'!A:K,6,0)</f>
        <v>-0.04054918843</v>
      </c>
      <c r="C20" s="19">
        <f>VLOOKUP(A20,'Data preparation'!A:K,7,0)</f>
        <v>-0.007040687764</v>
      </c>
    </row>
    <row r="21">
      <c r="A21" s="16">
        <v>45957.0</v>
      </c>
      <c r="B21" s="19">
        <f>VLOOKUP(A21,'Data preparation'!A:K,6,0)</f>
        <v>-0.01106551089</v>
      </c>
      <c r="C21" s="19">
        <f>VLOOKUP(A21,'Data preparation'!A:K,7,0)</f>
        <v>0.02874351937</v>
      </c>
    </row>
    <row r="22">
      <c r="A22" s="16">
        <v>45950.0</v>
      </c>
      <c r="B22" s="19">
        <f>VLOOKUP(A22,'Data preparation'!A:K,6,0)</f>
        <v>0.01953270114</v>
      </c>
      <c r="C22" s="19">
        <f>VLOOKUP(A22,'Data preparation'!A:K,7,0)</f>
        <v>0.0417378182</v>
      </c>
    </row>
    <row r="23">
      <c r="A23" s="16">
        <v>45943.0</v>
      </c>
      <c r="B23" s="19">
        <f>VLOOKUP(A23,'Data preparation'!A:K,6,0)</f>
        <v>0.005129313733</v>
      </c>
      <c r="C23" s="19">
        <f>VLOOKUP(A23,'Data preparation'!A:K,7,0)</f>
        <v>0.02863562092</v>
      </c>
    </row>
    <row r="24">
      <c r="A24" s="16">
        <v>45936.0</v>
      </c>
      <c r="B24" s="19">
        <f>VLOOKUP(A24,'Data preparation'!A:K,6,0)</f>
        <v>-0.01236389045</v>
      </c>
      <c r="C24" s="19">
        <f>VLOOKUP(A24,'Data preparation'!A:K,7,0)</f>
        <v>-0.04943113424</v>
      </c>
    </row>
    <row r="25">
      <c r="A25" s="16">
        <v>45929.0</v>
      </c>
      <c r="B25" s="19">
        <f>VLOOKUP(A25,'Data preparation'!A:K,6,0)</f>
        <v>0.01152471826</v>
      </c>
      <c r="C25" s="19">
        <f>VLOOKUP(A25,'Data preparation'!A:K,7,0)</f>
        <v>0.01004039691</v>
      </c>
    </row>
    <row r="26">
      <c r="A26" s="16">
        <v>45922.0</v>
      </c>
      <c r="B26" s="19">
        <f>VLOOKUP(A26,'Data preparation'!A:K,6,0)</f>
        <v>-0.01250508928</v>
      </c>
      <c r="C26" s="19">
        <f>VLOOKUP(A26,'Data preparation'!A:K,7,0)</f>
        <v>0.04056646125</v>
      </c>
    </row>
    <row r="27">
      <c r="A27" s="16">
        <v>45915.0</v>
      </c>
      <c r="B27" s="19">
        <f>VLOOKUP(A27,'Data preparation'!A:K,6,0)</f>
        <v>0.0157545442</v>
      </c>
      <c r="C27" s="19">
        <f>VLOOKUP(A27,'Data preparation'!A:K,7,0)</f>
        <v>0.04883999658</v>
      </c>
    </row>
    <row r="28">
      <c r="A28" s="16">
        <v>45908.0</v>
      </c>
      <c r="B28" s="19">
        <f>VLOOKUP(A28,'Data preparation'!A:K,6,0)</f>
        <v>0.03010447307</v>
      </c>
      <c r="C28" s="19">
        <f>VLOOKUP(A28,'Data preparation'!A:K,7,0)</f>
        <v>-0.02345023617</v>
      </c>
    </row>
    <row r="29">
      <c r="A29" s="16">
        <v>45901.0</v>
      </c>
      <c r="B29" s="19">
        <f>VLOOKUP(A29,'Data preparation'!A:K,6,0)</f>
        <v>-0.02306823362</v>
      </c>
      <c r="C29" s="19">
        <f>VLOOKUP(A29,'Data preparation'!A:K,7,0)</f>
        <v>0.03249892102</v>
      </c>
    </row>
    <row r="30">
      <c r="A30" s="16">
        <v>45894.0</v>
      </c>
      <c r="B30" s="19">
        <f>VLOOKUP(A30,'Data preparation'!A:K,6,0)</f>
        <v>0.000575054531</v>
      </c>
      <c r="C30" s="19">
        <f>VLOOKUP(A30,'Data preparation'!A:K,7,0)</f>
        <v>0.01922315576</v>
      </c>
    </row>
    <row r="31">
      <c r="A31" s="16">
        <v>45887.0</v>
      </c>
      <c r="B31" s="19">
        <f>VLOOKUP(A31,'Data preparation'!A:K,6,0)</f>
        <v>-0.02488543419</v>
      </c>
      <c r="C31" s="19">
        <f>VLOOKUP(A31,'Data preparation'!A:K,7,0)</f>
        <v>-0.0154185976</v>
      </c>
    </row>
    <row r="32">
      <c r="A32" s="16">
        <v>45880.0</v>
      </c>
      <c r="B32" s="19">
        <f>VLOOKUP(A32,'Data preparation'!A:K,6,0)</f>
        <v>-0.003564409849</v>
      </c>
      <c r="C32" s="19">
        <f>VLOOKUP(A32,'Data preparation'!A:K,7,0)</f>
        <v>0.009796632408</v>
      </c>
    </row>
    <row r="33">
      <c r="A33" s="16">
        <v>45873.0</v>
      </c>
      <c r="B33" s="19">
        <f>VLOOKUP(A33,'Data preparation'!A:K,6,0)</f>
        <v>-0.003953327704</v>
      </c>
      <c r="C33" s="19">
        <f>VLOOKUP(A33,'Data preparation'!A:K,7,0)</f>
        <v>0.1332209942</v>
      </c>
    </row>
    <row r="34">
      <c r="A34" s="16">
        <v>45866.0</v>
      </c>
      <c r="B34" s="19">
        <f>VLOOKUP(A34,'Data preparation'!A:K,6,0)</f>
        <v>0.02024513451</v>
      </c>
      <c r="C34" s="19">
        <f>VLOOKUP(A34,'Data preparation'!A:K,7,0)</f>
        <v>-0.05374478263</v>
      </c>
    </row>
    <row r="35">
      <c r="A35" s="16">
        <v>45859.0</v>
      </c>
      <c r="B35" s="19">
        <f>VLOOKUP(A35,'Data preparation'!A:K,6,0)</f>
        <v>0.007178071386</v>
      </c>
      <c r="C35" s="19">
        <f>VLOOKUP(A35,'Data preparation'!A:K,7,0)</f>
        <v>0.01277666952</v>
      </c>
    </row>
    <row r="36">
      <c r="A36" s="16">
        <v>45852.0</v>
      </c>
      <c r="B36" s="19">
        <f>VLOOKUP(A36,'Data preparation'!A:K,6,0)</f>
        <v>0.01336903739</v>
      </c>
      <c r="C36" s="19">
        <f>VLOOKUP(A36,'Data preparation'!A:K,7,0)</f>
        <v>0.00009500285009</v>
      </c>
    </row>
    <row r="37">
      <c r="A37" s="16">
        <v>45845.0</v>
      </c>
      <c r="B37" s="19">
        <f>VLOOKUP(A37,'Data preparation'!A:K,6,0)</f>
        <v>0.008972497782</v>
      </c>
      <c r="C37" s="19">
        <f>VLOOKUP(A37,'Data preparation'!A:K,7,0)</f>
        <v>-0.01117895726</v>
      </c>
    </row>
    <row r="38">
      <c r="A38" s="16">
        <v>45838.0</v>
      </c>
      <c r="B38" s="19">
        <f>VLOOKUP(A38,'Data preparation'!A:K,6,0)</f>
        <v>0.005840837187</v>
      </c>
      <c r="C38" s="19">
        <f>VLOOKUP(A38,'Data preparation'!A:K,7,0)</f>
        <v>0.06200428992</v>
      </c>
    </row>
    <row r="39">
      <c r="A39" s="16">
        <v>45831.0</v>
      </c>
      <c r="B39" s="19">
        <f>VLOOKUP(A39,'Data preparation'!A:K,6,0)</f>
        <v>0.03885049722</v>
      </c>
      <c r="C39" s="19">
        <f>VLOOKUP(A39,'Data preparation'!A:K,7,0)</f>
        <v>0.000399221518</v>
      </c>
    </row>
    <row r="40">
      <c r="A40" s="16">
        <v>45824.0</v>
      </c>
      <c r="B40" s="19">
        <f>VLOOKUP(A40,'Data preparation'!A:K,6,0)</f>
        <v>0.005124729999</v>
      </c>
      <c r="C40" s="19">
        <f>VLOOKUP(A40,'Data preparation'!A:K,7,0)</f>
        <v>0.02318100587</v>
      </c>
    </row>
    <row r="41">
      <c r="A41" s="16">
        <v>45817.0</v>
      </c>
      <c r="B41" s="19">
        <f>VLOOKUP(A41,'Data preparation'!A:K,6,0)</f>
        <v>0.009750673566</v>
      </c>
      <c r="C41" s="19">
        <f>VLOOKUP(A41,'Data preparation'!A:K,7,0)</f>
        <v>-0.0366453517</v>
      </c>
    </row>
    <row r="42">
      <c r="A42" s="16">
        <v>45810.0</v>
      </c>
      <c r="B42" s="19">
        <f>VLOOKUP(A42,'Data preparation'!A:K,6,0)</f>
        <v>0.02176097881</v>
      </c>
      <c r="C42" s="19">
        <f>VLOOKUP(A42,'Data preparation'!A:K,7,0)</f>
        <v>0.01528166201</v>
      </c>
    </row>
    <row r="43">
      <c r="A43" s="16">
        <v>45803.0</v>
      </c>
      <c r="B43" s="19">
        <f>VLOOKUP(A43,'Data preparation'!A:K,6,0)</f>
        <v>0.02261048304</v>
      </c>
      <c r="C43" s="19">
        <f>VLOOKUP(A43,'Data preparation'!A:K,7,0)</f>
        <v>0.02855968769</v>
      </c>
    </row>
    <row r="44">
      <c r="A44" s="16">
        <v>45796.0</v>
      </c>
      <c r="B44" s="19">
        <f>VLOOKUP(A44,'Data preparation'!A:K,6,0)</f>
        <v>-0.007186903864</v>
      </c>
      <c r="C44" s="19">
        <f>VLOOKUP(A44,'Data preparation'!A:K,7,0)</f>
        <v>-0.07445088904</v>
      </c>
    </row>
    <row r="45">
      <c r="A45" s="16">
        <v>45789.0</v>
      </c>
      <c r="B45" s="19">
        <f>VLOOKUP(A45,'Data preparation'!A:K,6,0)</f>
        <v>0.03541570969</v>
      </c>
      <c r="C45" s="19">
        <f>VLOOKUP(A45,'Data preparation'!A:K,7,0)</f>
        <v>0.06409672687</v>
      </c>
    </row>
    <row r="46">
      <c r="A46" s="16">
        <v>45782.0</v>
      </c>
      <c r="B46" s="19">
        <f>VLOOKUP(A46,'Data preparation'!A:K,6,0)</f>
        <v>0.007940366229</v>
      </c>
      <c r="C46" s="19">
        <f>VLOOKUP(A46,'Data preparation'!A:K,7,0)</f>
        <v>-0.03320942972</v>
      </c>
    </row>
    <row r="47">
      <c r="A47" s="16">
        <v>45775.0</v>
      </c>
      <c r="B47" s="19">
        <f>VLOOKUP(A47,'Data preparation'!A:K,6,0)</f>
        <v>0.1108339548</v>
      </c>
      <c r="C47" s="19">
        <f>VLOOKUP(A47,'Data preparation'!A:K,7,0)</f>
        <v>-0.01876469741</v>
      </c>
    </row>
    <row r="48">
      <c r="A48" s="16">
        <v>45768.0</v>
      </c>
      <c r="B48" s="19">
        <f>VLOOKUP(A48,'Data preparation'!A:K,6,0)</f>
        <v>0.06542645004</v>
      </c>
      <c r="C48" s="19">
        <f>VLOOKUP(A48,'Data preparation'!A:K,7,0)</f>
        <v>0.0624075868</v>
      </c>
    </row>
    <row r="49">
      <c r="A49" s="16">
        <v>45761.0</v>
      </c>
      <c r="B49" s="19">
        <f>VLOOKUP(A49,'Data preparation'!A:K,6,0)</f>
        <v>-0.05320363165</v>
      </c>
      <c r="C49" s="19">
        <f>VLOOKUP(A49,'Data preparation'!A:K,7,0)</f>
        <v>-0.005879669522</v>
      </c>
    </row>
    <row r="50">
      <c r="A50" s="16">
        <v>45754.0</v>
      </c>
      <c r="B50" s="19">
        <f>VLOOKUP(A50,'Data preparation'!A:K,6,0)</f>
        <v>0.07949931394</v>
      </c>
      <c r="C50" s="19">
        <f>VLOOKUP(A50,'Data preparation'!A:K,7,0)</f>
        <v>0.05187673278</v>
      </c>
    </row>
    <row r="51">
      <c r="A51" s="16">
        <v>45747.0</v>
      </c>
      <c r="B51" s="19">
        <f>VLOOKUP(A51,'Data preparation'!A:K,6,0)</f>
        <v>-0.05003724197</v>
      </c>
      <c r="C51" s="19">
        <f>VLOOKUP(A51,'Data preparation'!A:K,7,0)</f>
        <v>-0.1354690021</v>
      </c>
    </row>
    <row r="52">
      <c r="A52" s="16">
        <v>45740.0</v>
      </c>
      <c r="B52" s="19">
        <f>VLOOKUP(A52,'Data preparation'!A:K,6,0)</f>
        <v>-0.03185763218</v>
      </c>
      <c r="C52" s="19">
        <f>VLOOKUP(A52,'Data preparation'!A:K,7,0)</f>
        <v>-0.001702558439</v>
      </c>
    </row>
    <row r="53">
      <c r="A53" s="16">
        <v>45733.0</v>
      </c>
      <c r="B53" s="19">
        <f>VLOOKUP(A53,'Data preparation'!A:K,6,0)</f>
        <v>0.00695002723</v>
      </c>
      <c r="C53" s="19">
        <f>VLOOKUP(A53,'Data preparation'!A:K,7,0)</f>
        <v>0.02239367708</v>
      </c>
    </row>
    <row r="54">
      <c r="A54" s="16">
        <v>45726.0</v>
      </c>
      <c r="B54" s="19" t="str">
        <f>VLOOKUP(A54,'Data preparation'!A:K,6,0)</f>
        <v/>
      </c>
      <c r="C54" s="19" t="str">
        <f>VLOOKUP(A54,'Data preparation'!A:K,7,0)</f>
        <v/>
      </c>
    </row>
    <row r="55">
      <c r="A55" s="16"/>
    </row>
    <row r="56">
      <c r="A56" s="20"/>
    </row>
    <row r="57">
      <c r="A57" s="21"/>
    </row>
    <row r="58">
      <c r="A58" s="21"/>
    </row>
    <row r="59">
      <c r="A59" s="20"/>
    </row>
    <row r="60">
      <c r="A60" s="20"/>
    </row>
    <row r="61">
      <c r="A61" s="20"/>
    </row>
    <row r="62">
      <c r="A62" s="20"/>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s>
  <sheetData>
    <row r="1">
      <c r="A1" s="12" t="s">
        <v>0</v>
      </c>
      <c r="B1" s="23" t="s">
        <v>970</v>
      </c>
      <c r="C1" s="23" t="s">
        <v>962</v>
      </c>
      <c r="E1" s="24"/>
      <c r="F1" s="25" t="s">
        <v>970</v>
      </c>
      <c r="G1" s="25" t="s">
        <v>962</v>
      </c>
    </row>
    <row r="2">
      <c r="A2" s="16">
        <v>46090.0</v>
      </c>
      <c r="B2" s="19">
        <f>VLOOKUP(A2,'Data preparation'!A:K,6,0)</f>
        <v>0.001100352113</v>
      </c>
      <c r="C2" s="19">
        <f>VLOOKUP(A2,'Data preparation'!A:K,7,0)</f>
        <v>0.009399518372</v>
      </c>
      <c r="E2" s="28" t="s">
        <v>977</v>
      </c>
      <c r="F2" s="27">
        <f t="shared" ref="F2:G2" si="1">AVERAGE(B:B)</f>
        <v>0.001755037316</v>
      </c>
      <c r="G2" s="27">
        <f t="shared" si="1"/>
        <v>0.004796345226</v>
      </c>
    </row>
    <row r="3">
      <c r="A3" s="16">
        <v>46083.0</v>
      </c>
      <c r="B3" s="19">
        <f>VLOOKUP(A3,'Data preparation'!A:K,6,0)</f>
        <v>0.04129958751</v>
      </c>
      <c r="C3" s="19">
        <f>VLOOKUP(A3,'Data preparation'!A:K,7,0)</f>
        <v>-0.02543720191</v>
      </c>
      <c r="E3" s="28" t="s">
        <v>978</v>
      </c>
      <c r="F3" s="27">
        <f t="shared" ref="F3:G3" si="2">AVEDEV(B2:B54)*52/51</f>
        <v>0.02552006638</v>
      </c>
      <c r="G3" s="27">
        <f t="shared" si="2"/>
        <v>0.03217498168</v>
      </c>
    </row>
    <row r="4">
      <c r="A4" s="16">
        <v>46076.0</v>
      </c>
      <c r="B4" s="19">
        <f>VLOOKUP(A4,'Data preparation'!A:K,6,0)</f>
        <v>-0.009058108142</v>
      </c>
      <c r="C4" s="19">
        <f>VLOOKUP(A4,'Data preparation'!A:K,7,0)</f>
        <v>-0.00151183007</v>
      </c>
      <c r="E4" s="28" t="s">
        <v>979</v>
      </c>
      <c r="F4" s="27">
        <f t="shared" ref="F4:G4" si="3">_xlfn.VAR.S(B:B)</f>
        <v>0.001234698284</v>
      </c>
      <c r="G4" s="27">
        <f t="shared" si="3"/>
        <v>0.001869983798</v>
      </c>
    </row>
    <row r="5">
      <c r="A5" s="16">
        <v>46069.0</v>
      </c>
      <c r="B5" s="19">
        <f>VLOOKUP(A5,'Data preparation'!A:K,6,0)</f>
        <v>-0.01018955571</v>
      </c>
      <c r="C5" s="19">
        <f>VLOOKUP(A5,'Data preparation'!A:K,7,0)</f>
        <v>0.03537606637</v>
      </c>
      <c r="E5" s="28" t="s">
        <v>980</v>
      </c>
      <c r="F5" s="27">
        <f t="shared" ref="F5:G5" si="4">_xlfn.STDEV.S(B:B)</f>
        <v>0.03513827378</v>
      </c>
      <c r="G5" s="27">
        <f t="shared" si="4"/>
        <v>0.04324330928</v>
      </c>
    </row>
    <row r="6">
      <c r="A6" s="16">
        <v>46062.0</v>
      </c>
      <c r="B6" s="19">
        <f>VLOOKUP(A6,'Data preparation'!A:K,6,0)</f>
        <v>0.0004497413987</v>
      </c>
      <c r="C6" s="19">
        <f>VLOOKUP(A6,'Data preparation'!A:K,7,0)</f>
        <v>-0.08032822285</v>
      </c>
      <c r="H6" s="19"/>
    </row>
    <row r="7">
      <c r="A7" s="16">
        <v>46055.0</v>
      </c>
      <c r="B7" s="19">
        <f>VLOOKUP(A7,'Data preparation'!A:K,6,0)</f>
        <v>-0.06773660059</v>
      </c>
      <c r="C7" s="19">
        <f>VLOOKUP(A7,'Data preparation'!A:K,7,0)</f>
        <v>0.0718253356</v>
      </c>
      <c r="E7" s="26" t="s">
        <v>983</v>
      </c>
      <c r="F7" s="32">
        <f t="shared" ref="F7:G7" si="5">F5/F2</f>
        <v>20.02138272</v>
      </c>
      <c r="G7" s="32">
        <f t="shared" si="5"/>
        <v>9.015887566</v>
      </c>
    </row>
    <row r="8">
      <c r="A8" s="16">
        <v>46048.0</v>
      </c>
      <c r="B8" s="19">
        <f>VLOOKUP(A8,'Data preparation'!A:K,6,0)</f>
        <v>-0.0765342339</v>
      </c>
      <c r="C8" s="19">
        <f>VLOOKUP(A8,'Data preparation'!A:K,7,0)</f>
        <v>0.04612404665</v>
      </c>
      <c r="E8" s="26" t="s">
        <v>984</v>
      </c>
      <c r="F8" s="24">
        <f>3.96/53</f>
        <v>0.07471698113</v>
      </c>
      <c r="G8" s="24"/>
    </row>
    <row r="9">
      <c r="A9" s="16">
        <v>46041.0</v>
      </c>
      <c r="B9" s="19">
        <f>VLOOKUP(A9,'Data preparation'!A:K,6,0)</f>
        <v>0.01325167281</v>
      </c>
      <c r="C9" s="19">
        <f>VLOOKUP(A9,'Data preparation'!A:K,7,0)</f>
        <v>-0.02930001175</v>
      </c>
      <c r="E9" s="26" t="s">
        <v>985</v>
      </c>
      <c r="F9" s="32">
        <f t="shared" ref="F9:G9" si="6">(F2-$F$8)/F5</f>
        <v>-2.076423682</v>
      </c>
      <c r="G9" s="32">
        <f t="shared" si="6"/>
        <v>-1.616912236</v>
      </c>
    </row>
    <row r="10">
      <c r="A10" s="16">
        <v>46034.0</v>
      </c>
      <c r="B10" s="19">
        <f>VLOOKUP(A10,'Data preparation'!A:K,6,0)</f>
        <v>-0.04052782367</v>
      </c>
      <c r="C10" s="19">
        <f>VLOOKUP(A10,'Data preparation'!A:K,7,0)</f>
        <v>-0.01481881681</v>
      </c>
    </row>
    <row r="11">
      <c r="A11" s="16">
        <v>46027.0</v>
      </c>
      <c r="B11" s="19">
        <f>VLOOKUP(A11,'Data preparation'!A:K,6,0)</f>
        <v>0.01341499597</v>
      </c>
      <c r="C11" s="19">
        <f>VLOOKUP(A11,'Data preparation'!A:K,7,0)</f>
        <v>-0.04295316886</v>
      </c>
    </row>
    <row r="12">
      <c r="A12" s="16">
        <v>46020.0</v>
      </c>
      <c r="B12" s="19">
        <f>VLOOKUP(A12,'Data preparation'!A:K,6,0)</f>
        <v>-0.0302918208</v>
      </c>
      <c r="C12" s="19">
        <f>VLOOKUP(A12,'Data preparation'!A:K,7,0)</f>
        <v>-0.008713480267</v>
      </c>
    </row>
    <row r="13">
      <c r="A13" s="16">
        <v>46013.0</v>
      </c>
      <c r="B13" s="19">
        <f>VLOOKUP(A13,'Data preparation'!A:K,6,0)</f>
        <v>0.003692168066</v>
      </c>
      <c r="C13" s="19">
        <f>VLOOKUP(A13,'Data preparation'!A:K,7,0)</f>
        <v>-0.0009875278885</v>
      </c>
    </row>
    <row r="14">
      <c r="A14" s="16">
        <v>46006.0</v>
      </c>
      <c r="B14" s="19">
        <f>VLOOKUP(A14,'Data preparation'!A:K,6,0)</f>
        <v>0.01543649464</v>
      </c>
      <c r="C14" s="19">
        <f>VLOOKUP(A14,'Data preparation'!A:K,7,0)</f>
        <v>-0.0165815409</v>
      </c>
    </row>
    <row r="15">
      <c r="A15" s="16">
        <v>45999.0</v>
      </c>
      <c r="B15" s="19">
        <f>VLOOKUP(A15,'Data preparation'!A:K,6,0)</f>
        <v>-0.009583869228</v>
      </c>
      <c r="C15" s="19">
        <f>VLOOKUP(A15,'Data preparation'!A:K,7,0)</f>
        <v>-0.001795203217</v>
      </c>
    </row>
    <row r="16">
      <c r="A16" s="16">
        <v>45992.0</v>
      </c>
      <c r="B16" s="19">
        <f>VLOOKUP(A16,'Data preparation'!A:K,6,0)</f>
        <v>-0.01798773656</v>
      </c>
      <c r="C16" s="19">
        <f>VLOOKUP(A16,'Data preparation'!A:K,7,0)</f>
        <v>-0.0002512653003</v>
      </c>
    </row>
    <row r="17">
      <c r="A17" s="16">
        <v>45985.0</v>
      </c>
      <c r="B17" s="19">
        <f>VLOOKUP(A17,'Data preparation'!A:K,6,0)</f>
        <v>0.04409137315</v>
      </c>
      <c r="C17" s="19">
        <f>VLOOKUP(A17,'Data preparation'!A:K,7,0)</f>
        <v>0.02709777319</v>
      </c>
    </row>
    <row r="18">
      <c r="A18" s="16">
        <v>45978.0</v>
      </c>
      <c r="B18" s="19">
        <f>VLOOKUP(A18,'Data preparation'!A:K,6,0)</f>
        <v>-0.07461570256</v>
      </c>
      <c r="C18" s="19">
        <f>VLOOKUP(A18,'Data preparation'!A:K,7,0)</f>
        <v>-0.002390672699</v>
      </c>
    </row>
    <row r="19">
      <c r="A19" s="16">
        <v>45971.0</v>
      </c>
      <c r="B19" s="19">
        <f>VLOOKUP(A19,'Data preparation'!A:K,6,0)</f>
        <v>0.02690193225</v>
      </c>
      <c r="C19" s="19">
        <f>VLOOKUP(A19,'Data preparation'!A:K,7,0)</f>
        <v>0.01466636811</v>
      </c>
    </row>
    <row r="20">
      <c r="A20" s="16">
        <v>45964.0</v>
      </c>
      <c r="B20" s="19">
        <f>VLOOKUP(A20,'Data preparation'!A:K,6,0)</f>
        <v>-0.04054918843</v>
      </c>
      <c r="C20" s="19">
        <f>VLOOKUP(A20,'Data preparation'!A:K,7,0)</f>
        <v>-0.007040687764</v>
      </c>
    </row>
    <row r="21">
      <c r="A21" s="16">
        <v>45957.0</v>
      </c>
      <c r="B21" s="19">
        <f>VLOOKUP(A21,'Data preparation'!A:K,6,0)</f>
        <v>-0.01106551089</v>
      </c>
      <c r="C21" s="19">
        <f>VLOOKUP(A21,'Data preparation'!A:K,7,0)</f>
        <v>0.02874351937</v>
      </c>
    </row>
    <row r="22">
      <c r="A22" s="16">
        <v>45950.0</v>
      </c>
      <c r="B22" s="19">
        <f>VLOOKUP(A22,'Data preparation'!A:K,6,0)</f>
        <v>0.01953270114</v>
      </c>
      <c r="C22" s="19">
        <f>VLOOKUP(A22,'Data preparation'!A:K,7,0)</f>
        <v>0.0417378182</v>
      </c>
    </row>
    <row r="23">
      <c r="A23" s="16">
        <v>45943.0</v>
      </c>
      <c r="B23" s="19">
        <f>VLOOKUP(A23,'Data preparation'!A:K,6,0)</f>
        <v>0.005129313733</v>
      </c>
      <c r="C23" s="19">
        <f>VLOOKUP(A23,'Data preparation'!A:K,7,0)</f>
        <v>0.02863562092</v>
      </c>
    </row>
    <row r="24">
      <c r="A24" s="16">
        <v>45936.0</v>
      </c>
      <c r="B24" s="19">
        <f>VLOOKUP(A24,'Data preparation'!A:K,6,0)</f>
        <v>-0.01236389045</v>
      </c>
      <c r="C24" s="19">
        <f>VLOOKUP(A24,'Data preparation'!A:K,7,0)</f>
        <v>-0.04943113424</v>
      </c>
    </row>
    <row r="25">
      <c r="A25" s="16">
        <v>45929.0</v>
      </c>
      <c r="B25" s="19">
        <f>VLOOKUP(A25,'Data preparation'!A:K,6,0)</f>
        <v>0.01152471826</v>
      </c>
      <c r="C25" s="19">
        <f>VLOOKUP(A25,'Data preparation'!A:K,7,0)</f>
        <v>0.01004039691</v>
      </c>
    </row>
    <row r="26">
      <c r="A26" s="16">
        <v>45922.0</v>
      </c>
      <c r="B26" s="19">
        <f>VLOOKUP(A26,'Data preparation'!A:K,6,0)</f>
        <v>-0.01250508928</v>
      </c>
      <c r="C26" s="19">
        <f>VLOOKUP(A26,'Data preparation'!A:K,7,0)</f>
        <v>0.04056646125</v>
      </c>
    </row>
    <row r="27">
      <c r="A27" s="16">
        <v>45915.0</v>
      </c>
      <c r="B27" s="19">
        <f>VLOOKUP(A27,'Data preparation'!A:K,6,0)</f>
        <v>0.0157545442</v>
      </c>
      <c r="C27" s="19">
        <f>VLOOKUP(A27,'Data preparation'!A:K,7,0)</f>
        <v>0.04883999658</v>
      </c>
    </row>
    <row r="28">
      <c r="A28" s="16">
        <v>45908.0</v>
      </c>
      <c r="B28" s="19">
        <f>VLOOKUP(A28,'Data preparation'!A:K,6,0)</f>
        <v>0.03010447307</v>
      </c>
      <c r="C28" s="19">
        <f>VLOOKUP(A28,'Data preparation'!A:K,7,0)</f>
        <v>-0.02345023617</v>
      </c>
    </row>
    <row r="29">
      <c r="A29" s="16">
        <v>45901.0</v>
      </c>
      <c r="B29" s="19">
        <f>VLOOKUP(A29,'Data preparation'!A:K,6,0)</f>
        <v>-0.02306823362</v>
      </c>
      <c r="C29" s="19">
        <f>VLOOKUP(A29,'Data preparation'!A:K,7,0)</f>
        <v>0.03249892102</v>
      </c>
    </row>
    <row r="30">
      <c r="A30" s="16">
        <v>45894.0</v>
      </c>
      <c r="B30" s="19">
        <f>VLOOKUP(A30,'Data preparation'!A:K,6,0)</f>
        <v>0.000575054531</v>
      </c>
      <c r="C30" s="19">
        <f>VLOOKUP(A30,'Data preparation'!A:K,7,0)</f>
        <v>0.01922315576</v>
      </c>
    </row>
    <row r="31">
      <c r="A31" s="16">
        <v>45887.0</v>
      </c>
      <c r="B31" s="19">
        <f>VLOOKUP(A31,'Data preparation'!A:K,6,0)</f>
        <v>-0.02488543419</v>
      </c>
      <c r="C31" s="19">
        <f>VLOOKUP(A31,'Data preparation'!A:K,7,0)</f>
        <v>-0.0154185976</v>
      </c>
    </row>
    <row r="32">
      <c r="A32" s="16">
        <v>45880.0</v>
      </c>
      <c r="B32" s="19">
        <f>VLOOKUP(A32,'Data preparation'!A:K,6,0)</f>
        <v>-0.003564409849</v>
      </c>
      <c r="C32" s="19">
        <f>VLOOKUP(A32,'Data preparation'!A:K,7,0)</f>
        <v>0.009796632408</v>
      </c>
    </row>
    <row r="33">
      <c r="A33" s="16">
        <v>45873.0</v>
      </c>
      <c r="B33" s="19">
        <f>VLOOKUP(A33,'Data preparation'!A:K,6,0)</f>
        <v>-0.003953327704</v>
      </c>
      <c r="C33" s="19">
        <f>VLOOKUP(A33,'Data preparation'!A:K,7,0)</f>
        <v>0.1332209942</v>
      </c>
    </row>
    <row r="34">
      <c r="A34" s="16">
        <v>45866.0</v>
      </c>
      <c r="B34" s="19">
        <f>VLOOKUP(A34,'Data preparation'!A:K,6,0)</f>
        <v>0.02024513451</v>
      </c>
      <c r="C34" s="19">
        <f>VLOOKUP(A34,'Data preparation'!A:K,7,0)</f>
        <v>-0.05374478263</v>
      </c>
    </row>
    <row r="35">
      <c r="A35" s="16">
        <v>45859.0</v>
      </c>
      <c r="B35" s="19">
        <f>VLOOKUP(A35,'Data preparation'!A:K,6,0)</f>
        <v>0.007178071386</v>
      </c>
      <c r="C35" s="19">
        <f>VLOOKUP(A35,'Data preparation'!A:K,7,0)</f>
        <v>0.01277666952</v>
      </c>
    </row>
    <row r="36">
      <c r="A36" s="16">
        <v>45852.0</v>
      </c>
      <c r="B36" s="19">
        <f>VLOOKUP(A36,'Data preparation'!A:K,6,0)</f>
        <v>0.01336903739</v>
      </c>
      <c r="C36" s="19">
        <f>VLOOKUP(A36,'Data preparation'!A:K,7,0)</f>
        <v>0.00009500285009</v>
      </c>
    </row>
    <row r="37">
      <c r="A37" s="16">
        <v>45845.0</v>
      </c>
      <c r="B37" s="19">
        <f>VLOOKUP(A37,'Data preparation'!A:K,6,0)</f>
        <v>0.008972497782</v>
      </c>
      <c r="C37" s="19">
        <f>VLOOKUP(A37,'Data preparation'!A:K,7,0)</f>
        <v>-0.01117895726</v>
      </c>
    </row>
    <row r="38">
      <c r="A38" s="16">
        <v>45838.0</v>
      </c>
      <c r="B38" s="19">
        <f>VLOOKUP(A38,'Data preparation'!A:K,6,0)</f>
        <v>0.005840837187</v>
      </c>
      <c r="C38" s="19">
        <f>VLOOKUP(A38,'Data preparation'!A:K,7,0)</f>
        <v>0.06200428992</v>
      </c>
    </row>
    <row r="39">
      <c r="A39" s="16">
        <v>45831.0</v>
      </c>
      <c r="B39" s="19">
        <f>VLOOKUP(A39,'Data preparation'!A:K,6,0)</f>
        <v>0.03885049722</v>
      </c>
      <c r="C39" s="19">
        <f>VLOOKUP(A39,'Data preparation'!A:K,7,0)</f>
        <v>0.000399221518</v>
      </c>
    </row>
    <row r="40">
      <c r="A40" s="16">
        <v>45824.0</v>
      </c>
      <c r="B40" s="19">
        <f>VLOOKUP(A40,'Data preparation'!A:K,6,0)</f>
        <v>0.005124729999</v>
      </c>
      <c r="C40" s="19">
        <f>VLOOKUP(A40,'Data preparation'!A:K,7,0)</f>
        <v>0.02318100587</v>
      </c>
    </row>
    <row r="41">
      <c r="A41" s="16">
        <v>45817.0</v>
      </c>
      <c r="B41" s="19">
        <f>VLOOKUP(A41,'Data preparation'!A:K,6,0)</f>
        <v>0.009750673566</v>
      </c>
      <c r="C41" s="19">
        <f>VLOOKUP(A41,'Data preparation'!A:K,7,0)</f>
        <v>-0.0366453517</v>
      </c>
    </row>
    <row r="42">
      <c r="A42" s="16">
        <v>45810.0</v>
      </c>
      <c r="B42" s="19">
        <f>VLOOKUP(A42,'Data preparation'!A:K,6,0)</f>
        <v>0.02176097881</v>
      </c>
      <c r="C42" s="19">
        <f>VLOOKUP(A42,'Data preparation'!A:K,7,0)</f>
        <v>0.01528166201</v>
      </c>
    </row>
    <row r="43">
      <c r="A43" s="16">
        <v>45803.0</v>
      </c>
      <c r="B43" s="19">
        <f>VLOOKUP(A43,'Data preparation'!A:K,6,0)</f>
        <v>0.02261048304</v>
      </c>
      <c r="C43" s="19">
        <f>VLOOKUP(A43,'Data preparation'!A:K,7,0)</f>
        <v>0.02855968769</v>
      </c>
    </row>
    <row r="44">
      <c r="A44" s="16">
        <v>45796.0</v>
      </c>
      <c r="B44" s="19">
        <f>VLOOKUP(A44,'Data preparation'!A:K,6,0)</f>
        <v>-0.007186903864</v>
      </c>
      <c r="C44" s="19">
        <f>VLOOKUP(A44,'Data preparation'!A:K,7,0)</f>
        <v>-0.07445088904</v>
      </c>
    </row>
    <row r="45">
      <c r="A45" s="16">
        <v>45789.0</v>
      </c>
      <c r="B45" s="19">
        <f>VLOOKUP(A45,'Data preparation'!A:K,6,0)</f>
        <v>0.03541570969</v>
      </c>
      <c r="C45" s="19">
        <f>VLOOKUP(A45,'Data preparation'!A:K,7,0)</f>
        <v>0.06409672687</v>
      </c>
    </row>
    <row r="46">
      <c r="A46" s="16">
        <v>45782.0</v>
      </c>
      <c r="B46" s="19">
        <f>VLOOKUP(A46,'Data preparation'!A:K,6,0)</f>
        <v>0.007940366229</v>
      </c>
      <c r="C46" s="19">
        <f>VLOOKUP(A46,'Data preparation'!A:K,7,0)</f>
        <v>-0.03320942972</v>
      </c>
    </row>
    <row r="47">
      <c r="A47" s="16">
        <v>45775.0</v>
      </c>
      <c r="B47" s="19">
        <f>VLOOKUP(A47,'Data preparation'!A:K,6,0)</f>
        <v>0.1108339548</v>
      </c>
      <c r="C47" s="19">
        <f>VLOOKUP(A47,'Data preparation'!A:K,7,0)</f>
        <v>-0.01876469741</v>
      </c>
    </row>
    <row r="48">
      <c r="A48" s="16">
        <v>45768.0</v>
      </c>
      <c r="B48" s="19">
        <f>VLOOKUP(A48,'Data preparation'!A:K,6,0)</f>
        <v>0.06542645004</v>
      </c>
      <c r="C48" s="19">
        <f>VLOOKUP(A48,'Data preparation'!A:K,7,0)</f>
        <v>0.0624075868</v>
      </c>
    </row>
    <row r="49">
      <c r="A49" s="16">
        <v>45761.0</v>
      </c>
      <c r="B49" s="19">
        <f>VLOOKUP(A49,'Data preparation'!A:K,6,0)</f>
        <v>-0.05320363165</v>
      </c>
      <c r="C49" s="19">
        <f>VLOOKUP(A49,'Data preparation'!A:K,7,0)</f>
        <v>-0.005879669522</v>
      </c>
    </row>
    <row r="50">
      <c r="A50" s="16">
        <v>45754.0</v>
      </c>
      <c r="B50" s="19">
        <f>VLOOKUP(A50,'Data preparation'!A:K,6,0)</f>
        <v>0.07949931394</v>
      </c>
      <c r="C50" s="19">
        <f>VLOOKUP(A50,'Data preparation'!A:K,7,0)</f>
        <v>0.05187673278</v>
      </c>
    </row>
    <row r="51">
      <c r="A51" s="16">
        <v>45747.0</v>
      </c>
      <c r="B51" s="19">
        <f>VLOOKUP(A51,'Data preparation'!A:K,6,0)</f>
        <v>-0.05003724197</v>
      </c>
      <c r="C51" s="19">
        <f>VLOOKUP(A51,'Data preparation'!A:K,7,0)</f>
        <v>-0.1354690021</v>
      </c>
    </row>
    <row r="52">
      <c r="A52" s="16">
        <v>45740.0</v>
      </c>
      <c r="B52" s="19">
        <f>VLOOKUP(A52,'Data preparation'!A:K,6,0)</f>
        <v>-0.03185763218</v>
      </c>
      <c r="C52" s="19">
        <f>VLOOKUP(A52,'Data preparation'!A:K,7,0)</f>
        <v>-0.001702558439</v>
      </c>
    </row>
    <row r="53">
      <c r="A53" s="16">
        <v>45733.0</v>
      </c>
      <c r="B53" s="19">
        <f>VLOOKUP(A53,'Data preparation'!A:K,6,0)</f>
        <v>0.00695002723</v>
      </c>
      <c r="C53" s="19">
        <f>VLOOKUP(A53,'Data preparation'!A:K,7,0)</f>
        <v>0.02239367708</v>
      </c>
    </row>
    <row r="54">
      <c r="A54" s="16">
        <v>45726.0</v>
      </c>
      <c r="B54" s="19" t="str">
        <f>VLOOKUP(A54,'Data preparation'!A:K,6,0)</f>
        <v/>
      </c>
      <c r="C54" s="19" t="str">
        <f>VLOOKUP(A54,'Data preparation'!A:K,7,0)</f>
        <v/>
      </c>
    </row>
    <row r="55">
      <c r="A55" s="16"/>
    </row>
    <row r="56">
      <c r="A56" s="20"/>
    </row>
    <row r="57">
      <c r="A57" s="21"/>
    </row>
    <row r="58">
      <c r="A58" s="21"/>
    </row>
    <row r="59">
      <c r="A59" s="20"/>
    </row>
    <row r="60">
      <c r="A60" s="20"/>
    </row>
    <row r="61">
      <c r="A61" s="20"/>
    </row>
    <row r="62">
      <c r="A62" s="20"/>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4.5"/>
  </cols>
  <sheetData>
    <row r="1">
      <c r="A1" s="12" t="s">
        <v>0</v>
      </c>
      <c r="B1" s="23" t="s">
        <v>970</v>
      </c>
      <c r="C1" s="23" t="s">
        <v>962</v>
      </c>
    </row>
    <row r="2">
      <c r="A2" s="16">
        <v>46090.0</v>
      </c>
      <c r="B2" s="19">
        <f>VLOOKUP(A2,'Data preparation'!A:K,6,0)</f>
        <v>0.001100352113</v>
      </c>
      <c r="C2" s="19">
        <f>VLOOKUP(A2,'Data preparation'!A:K,7,0)</f>
        <v>0.009399518372</v>
      </c>
      <c r="E2" s="26" t="s">
        <v>986</v>
      </c>
      <c r="F2" s="24">
        <f>_xlfn.COVARIANCE.S(B:B,C:C)</f>
        <v>0.0001463144514</v>
      </c>
    </row>
    <row r="3">
      <c r="A3" s="16">
        <v>46083.0</v>
      </c>
      <c r="B3" s="19">
        <f>VLOOKUP(A3,'Data preparation'!A:K,6,0)</f>
        <v>0.04129958751</v>
      </c>
      <c r="C3" s="19">
        <f>VLOOKUP(A3,'Data preparation'!A:K,7,0)</f>
        <v>-0.02543720191</v>
      </c>
      <c r="E3" s="26" t="s">
        <v>987</v>
      </c>
      <c r="F3" s="24">
        <f>CORREL(B:B,C:C)</f>
        <v>0.09629148382</v>
      </c>
    </row>
    <row r="4">
      <c r="A4" s="16">
        <v>46076.0</v>
      </c>
      <c r="B4" s="19">
        <f>VLOOKUP(A4,'Data preparation'!A:K,6,0)</f>
        <v>-0.009058108142</v>
      </c>
      <c r="C4" s="19">
        <f>VLOOKUP(A4,'Data preparation'!A:K,7,0)</f>
        <v>-0.00151183007</v>
      </c>
      <c r="E4" s="26" t="s">
        <v>988</v>
      </c>
      <c r="F4" s="24">
        <f>F3^2</f>
        <v>0.009272049857</v>
      </c>
    </row>
    <row r="5">
      <c r="A5" s="16">
        <v>46069.0</v>
      </c>
      <c r="B5" s="19">
        <f>VLOOKUP(A5,'Data preparation'!A:K,6,0)</f>
        <v>-0.01018955571</v>
      </c>
      <c r="C5" s="19">
        <f>VLOOKUP(A5,'Data preparation'!A:K,7,0)</f>
        <v>0.03537606637</v>
      </c>
    </row>
    <row r="6">
      <c r="A6" s="16">
        <v>46062.0</v>
      </c>
      <c r="B6" s="19">
        <f>VLOOKUP(A6,'Data preparation'!A:K,6,0)</f>
        <v>0.0004497413987</v>
      </c>
      <c r="C6" s="19">
        <f>VLOOKUP(A6,'Data preparation'!A:K,7,0)</f>
        <v>-0.08032822285</v>
      </c>
    </row>
    <row r="7">
      <c r="A7" s="16">
        <v>46055.0</v>
      </c>
      <c r="B7" s="19">
        <f>VLOOKUP(A7,'Data preparation'!A:K,6,0)</f>
        <v>-0.06773660059</v>
      </c>
      <c r="C7" s="19">
        <f>VLOOKUP(A7,'Data preparation'!A:K,7,0)</f>
        <v>0.0718253356</v>
      </c>
    </row>
    <row r="8">
      <c r="A8" s="16">
        <v>46048.0</v>
      </c>
      <c r="B8" s="19">
        <f>VLOOKUP(A8,'Data preparation'!A:K,6,0)</f>
        <v>-0.0765342339</v>
      </c>
      <c r="C8" s="19">
        <f>VLOOKUP(A8,'Data preparation'!A:K,7,0)</f>
        <v>0.04612404665</v>
      </c>
    </row>
    <row r="9">
      <c r="A9" s="16">
        <v>46041.0</v>
      </c>
      <c r="B9" s="19">
        <f>VLOOKUP(A9,'Data preparation'!A:K,6,0)</f>
        <v>0.01325167281</v>
      </c>
      <c r="C9" s="19">
        <f>VLOOKUP(A9,'Data preparation'!A:K,7,0)</f>
        <v>-0.02930001175</v>
      </c>
    </row>
    <row r="10">
      <c r="A10" s="16">
        <v>46034.0</v>
      </c>
      <c r="B10" s="19">
        <f>VLOOKUP(A10,'Data preparation'!A:K,6,0)</f>
        <v>-0.04052782367</v>
      </c>
      <c r="C10" s="19">
        <f>VLOOKUP(A10,'Data preparation'!A:K,7,0)</f>
        <v>-0.01481881681</v>
      </c>
    </row>
    <row r="11">
      <c r="A11" s="16">
        <v>46027.0</v>
      </c>
      <c r="B11" s="19">
        <f>VLOOKUP(A11,'Data preparation'!A:K,6,0)</f>
        <v>0.01341499597</v>
      </c>
      <c r="C11" s="19">
        <f>VLOOKUP(A11,'Data preparation'!A:K,7,0)</f>
        <v>-0.04295316886</v>
      </c>
    </row>
    <row r="12">
      <c r="A12" s="16">
        <v>46020.0</v>
      </c>
      <c r="B12" s="19">
        <f>VLOOKUP(A12,'Data preparation'!A:K,6,0)</f>
        <v>-0.0302918208</v>
      </c>
      <c r="C12" s="19">
        <f>VLOOKUP(A12,'Data preparation'!A:K,7,0)</f>
        <v>-0.008713480267</v>
      </c>
    </row>
    <row r="13">
      <c r="A13" s="16">
        <v>46013.0</v>
      </c>
      <c r="B13" s="19">
        <f>VLOOKUP(A13,'Data preparation'!A:K,6,0)</f>
        <v>0.003692168066</v>
      </c>
      <c r="C13" s="19">
        <f>VLOOKUP(A13,'Data preparation'!A:K,7,0)</f>
        <v>-0.0009875278885</v>
      </c>
    </row>
    <row r="14">
      <c r="A14" s="16">
        <v>46006.0</v>
      </c>
      <c r="B14" s="19">
        <f>VLOOKUP(A14,'Data preparation'!A:K,6,0)</f>
        <v>0.01543649464</v>
      </c>
      <c r="C14" s="19">
        <f>VLOOKUP(A14,'Data preparation'!A:K,7,0)</f>
        <v>-0.0165815409</v>
      </c>
    </row>
    <row r="15">
      <c r="A15" s="16">
        <v>45999.0</v>
      </c>
      <c r="B15" s="19">
        <f>VLOOKUP(A15,'Data preparation'!A:K,6,0)</f>
        <v>-0.009583869228</v>
      </c>
      <c r="C15" s="19">
        <f>VLOOKUP(A15,'Data preparation'!A:K,7,0)</f>
        <v>-0.001795203217</v>
      </c>
    </row>
    <row r="16">
      <c r="A16" s="16">
        <v>45992.0</v>
      </c>
      <c r="B16" s="19">
        <f>VLOOKUP(A16,'Data preparation'!A:K,6,0)</f>
        <v>-0.01798773656</v>
      </c>
      <c r="C16" s="19">
        <f>VLOOKUP(A16,'Data preparation'!A:K,7,0)</f>
        <v>-0.0002512653003</v>
      </c>
    </row>
    <row r="17">
      <c r="A17" s="16">
        <v>45985.0</v>
      </c>
      <c r="B17" s="19">
        <f>VLOOKUP(A17,'Data preparation'!A:K,6,0)</f>
        <v>0.04409137315</v>
      </c>
      <c r="C17" s="19">
        <f>VLOOKUP(A17,'Data preparation'!A:K,7,0)</f>
        <v>0.02709777319</v>
      </c>
    </row>
    <row r="18">
      <c r="A18" s="16">
        <v>45978.0</v>
      </c>
      <c r="B18" s="19">
        <f>VLOOKUP(A18,'Data preparation'!A:K,6,0)</f>
        <v>-0.07461570256</v>
      </c>
      <c r="C18" s="19">
        <f>VLOOKUP(A18,'Data preparation'!A:K,7,0)</f>
        <v>-0.002390672699</v>
      </c>
    </row>
    <row r="19">
      <c r="A19" s="16">
        <v>45971.0</v>
      </c>
      <c r="B19" s="19">
        <f>VLOOKUP(A19,'Data preparation'!A:K,6,0)</f>
        <v>0.02690193225</v>
      </c>
      <c r="C19" s="19">
        <f>VLOOKUP(A19,'Data preparation'!A:K,7,0)</f>
        <v>0.01466636811</v>
      </c>
    </row>
    <row r="20">
      <c r="A20" s="16">
        <v>45964.0</v>
      </c>
      <c r="B20" s="19">
        <f>VLOOKUP(A20,'Data preparation'!A:K,6,0)</f>
        <v>-0.04054918843</v>
      </c>
      <c r="C20" s="19">
        <f>VLOOKUP(A20,'Data preparation'!A:K,7,0)</f>
        <v>-0.007040687764</v>
      </c>
    </row>
    <row r="21">
      <c r="A21" s="16">
        <v>45957.0</v>
      </c>
      <c r="B21" s="19">
        <f>VLOOKUP(A21,'Data preparation'!A:K,6,0)</f>
        <v>-0.01106551089</v>
      </c>
      <c r="C21" s="19">
        <f>VLOOKUP(A21,'Data preparation'!A:K,7,0)</f>
        <v>0.02874351937</v>
      </c>
    </row>
    <row r="22">
      <c r="A22" s="16">
        <v>45950.0</v>
      </c>
      <c r="B22" s="19">
        <f>VLOOKUP(A22,'Data preparation'!A:K,6,0)</f>
        <v>0.01953270114</v>
      </c>
      <c r="C22" s="19">
        <f>VLOOKUP(A22,'Data preparation'!A:K,7,0)</f>
        <v>0.0417378182</v>
      </c>
    </row>
    <row r="23">
      <c r="A23" s="16">
        <v>45943.0</v>
      </c>
      <c r="B23" s="19">
        <f>VLOOKUP(A23,'Data preparation'!A:K,6,0)</f>
        <v>0.005129313733</v>
      </c>
      <c r="C23" s="19">
        <f>VLOOKUP(A23,'Data preparation'!A:K,7,0)</f>
        <v>0.02863562092</v>
      </c>
    </row>
    <row r="24">
      <c r="A24" s="16">
        <v>45936.0</v>
      </c>
      <c r="B24" s="19">
        <f>VLOOKUP(A24,'Data preparation'!A:K,6,0)</f>
        <v>-0.01236389045</v>
      </c>
      <c r="C24" s="19">
        <f>VLOOKUP(A24,'Data preparation'!A:K,7,0)</f>
        <v>-0.04943113424</v>
      </c>
    </row>
    <row r="25">
      <c r="A25" s="16">
        <v>45929.0</v>
      </c>
      <c r="B25" s="19">
        <f>VLOOKUP(A25,'Data preparation'!A:K,6,0)</f>
        <v>0.01152471826</v>
      </c>
      <c r="C25" s="19">
        <f>VLOOKUP(A25,'Data preparation'!A:K,7,0)</f>
        <v>0.01004039691</v>
      </c>
    </row>
    <row r="26">
      <c r="A26" s="16">
        <v>45922.0</v>
      </c>
      <c r="B26" s="19">
        <f>VLOOKUP(A26,'Data preparation'!A:K,6,0)</f>
        <v>-0.01250508928</v>
      </c>
      <c r="C26" s="19">
        <f>VLOOKUP(A26,'Data preparation'!A:K,7,0)</f>
        <v>0.04056646125</v>
      </c>
    </row>
    <row r="27">
      <c r="A27" s="16">
        <v>45915.0</v>
      </c>
      <c r="B27" s="19">
        <f>VLOOKUP(A27,'Data preparation'!A:K,6,0)</f>
        <v>0.0157545442</v>
      </c>
      <c r="C27" s="19">
        <f>VLOOKUP(A27,'Data preparation'!A:K,7,0)</f>
        <v>0.04883999658</v>
      </c>
    </row>
    <row r="28">
      <c r="A28" s="16">
        <v>45908.0</v>
      </c>
      <c r="B28" s="19">
        <f>VLOOKUP(A28,'Data preparation'!A:K,6,0)</f>
        <v>0.03010447307</v>
      </c>
      <c r="C28" s="19">
        <f>VLOOKUP(A28,'Data preparation'!A:K,7,0)</f>
        <v>-0.02345023617</v>
      </c>
    </row>
    <row r="29">
      <c r="A29" s="16">
        <v>45901.0</v>
      </c>
      <c r="B29" s="19">
        <f>VLOOKUP(A29,'Data preparation'!A:K,6,0)</f>
        <v>-0.02306823362</v>
      </c>
      <c r="C29" s="19">
        <f>VLOOKUP(A29,'Data preparation'!A:K,7,0)</f>
        <v>0.03249892102</v>
      </c>
    </row>
    <row r="30">
      <c r="A30" s="16">
        <v>45894.0</v>
      </c>
      <c r="B30" s="19">
        <f>VLOOKUP(A30,'Data preparation'!A:K,6,0)</f>
        <v>0.000575054531</v>
      </c>
      <c r="C30" s="19">
        <f>VLOOKUP(A30,'Data preparation'!A:K,7,0)</f>
        <v>0.01922315576</v>
      </c>
    </row>
    <row r="31">
      <c r="A31" s="16">
        <v>45887.0</v>
      </c>
      <c r="B31" s="19">
        <f>VLOOKUP(A31,'Data preparation'!A:K,6,0)</f>
        <v>-0.02488543419</v>
      </c>
      <c r="C31" s="19">
        <f>VLOOKUP(A31,'Data preparation'!A:K,7,0)</f>
        <v>-0.0154185976</v>
      </c>
    </row>
    <row r="32">
      <c r="A32" s="16">
        <v>45880.0</v>
      </c>
      <c r="B32" s="19">
        <f>VLOOKUP(A32,'Data preparation'!A:K,6,0)</f>
        <v>-0.003564409849</v>
      </c>
      <c r="C32" s="19">
        <f>VLOOKUP(A32,'Data preparation'!A:K,7,0)</f>
        <v>0.009796632408</v>
      </c>
    </row>
    <row r="33">
      <c r="A33" s="16">
        <v>45873.0</v>
      </c>
      <c r="B33" s="19">
        <f>VLOOKUP(A33,'Data preparation'!A:K,6,0)</f>
        <v>-0.003953327704</v>
      </c>
      <c r="C33" s="19">
        <f>VLOOKUP(A33,'Data preparation'!A:K,7,0)</f>
        <v>0.1332209942</v>
      </c>
    </row>
    <row r="34">
      <c r="A34" s="16">
        <v>45866.0</v>
      </c>
      <c r="B34" s="19">
        <f>VLOOKUP(A34,'Data preparation'!A:K,6,0)</f>
        <v>0.02024513451</v>
      </c>
      <c r="C34" s="19">
        <f>VLOOKUP(A34,'Data preparation'!A:K,7,0)</f>
        <v>-0.05374478263</v>
      </c>
    </row>
    <row r="35">
      <c r="A35" s="16">
        <v>45859.0</v>
      </c>
      <c r="B35" s="19">
        <f>VLOOKUP(A35,'Data preparation'!A:K,6,0)</f>
        <v>0.007178071386</v>
      </c>
      <c r="C35" s="19">
        <f>VLOOKUP(A35,'Data preparation'!A:K,7,0)</f>
        <v>0.01277666952</v>
      </c>
    </row>
    <row r="36">
      <c r="A36" s="16">
        <v>45852.0</v>
      </c>
      <c r="B36" s="19">
        <f>VLOOKUP(A36,'Data preparation'!A:K,6,0)</f>
        <v>0.01336903739</v>
      </c>
      <c r="C36" s="19">
        <f>VLOOKUP(A36,'Data preparation'!A:K,7,0)</f>
        <v>0.00009500285009</v>
      </c>
    </row>
    <row r="37">
      <c r="A37" s="16">
        <v>45845.0</v>
      </c>
      <c r="B37" s="19">
        <f>VLOOKUP(A37,'Data preparation'!A:K,6,0)</f>
        <v>0.008972497782</v>
      </c>
      <c r="C37" s="19">
        <f>VLOOKUP(A37,'Data preparation'!A:K,7,0)</f>
        <v>-0.01117895726</v>
      </c>
    </row>
    <row r="38">
      <c r="A38" s="16">
        <v>45838.0</v>
      </c>
      <c r="B38" s="19">
        <f>VLOOKUP(A38,'Data preparation'!A:K,6,0)</f>
        <v>0.005840837187</v>
      </c>
      <c r="C38" s="19">
        <f>VLOOKUP(A38,'Data preparation'!A:K,7,0)</f>
        <v>0.06200428992</v>
      </c>
    </row>
    <row r="39">
      <c r="A39" s="16">
        <v>45831.0</v>
      </c>
      <c r="B39" s="19">
        <f>VLOOKUP(A39,'Data preparation'!A:K,6,0)</f>
        <v>0.03885049722</v>
      </c>
      <c r="C39" s="19">
        <f>VLOOKUP(A39,'Data preparation'!A:K,7,0)</f>
        <v>0.000399221518</v>
      </c>
    </row>
    <row r="40">
      <c r="A40" s="16">
        <v>45824.0</v>
      </c>
      <c r="B40" s="19">
        <f>VLOOKUP(A40,'Data preparation'!A:K,6,0)</f>
        <v>0.005124729999</v>
      </c>
      <c r="C40" s="19">
        <f>VLOOKUP(A40,'Data preparation'!A:K,7,0)</f>
        <v>0.02318100587</v>
      </c>
    </row>
    <row r="41">
      <c r="A41" s="16">
        <v>45817.0</v>
      </c>
      <c r="B41" s="19">
        <f>VLOOKUP(A41,'Data preparation'!A:K,6,0)</f>
        <v>0.009750673566</v>
      </c>
      <c r="C41" s="19">
        <f>VLOOKUP(A41,'Data preparation'!A:K,7,0)</f>
        <v>-0.0366453517</v>
      </c>
    </row>
    <row r="42">
      <c r="A42" s="16">
        <v>45810.0</v>
      </c>
      <c r="B42" s="19">
        <f>VLOOKUP(A42,'Data preparation'!A:K,6,0)</f>
        <v>0.02176097881</v>
      </c>
      <c r="C42" s="19">
        <f>VLOOKUP(A42,'Data preparation'!A:K,7,0)</f>
        <v>0.01528166201</v>
      </c>
    </row>
    <row r="43">
      <c r="A43" s="16">
        <v>45803.0</v>
      </c>
      <c r="B43" s="19">
        <f>VLOOKUP(A43,'Data preparation'!A:K,6,0)</f>
        <v>0.02261048304</v>
      </c>
      <c r="C43" s="19">
        <f>VLOOKUP(A43,'Data preparation'!A:K,7,0)</f>
        <v>0.02855968769</v>
      </c>
    </row>
    <row r="44">
      <c r="A44" s="16">
        <v>45796.0</v>
      </c>
      <c r="B44" s="19">
        <f>VLOOKUP(A44,'Data preparation'!A:K,6,0)</f>
        <v>-0.007186903864</v>
      </c>
      <c r="C44" s="19">
        <f>VLOOKUP(A44,'Data preparation'!A:K,7,0)</f>
        <v>-0.07445088904</v>
      </c>
    </row>
    <row r="45">
      <c r="A45" s="16">
        <v>45789.0</v>
      </c>
      <c r="B45" s="19">
        <f>VLOOKUP(A45,'Data preparation'!A:K,6,0)</f>
        <v>0.03541570969</v>
      </c>
      <c r="C45" s="19">
        <f>VLOOKUP(A45,'Data preparation'!A:K,7,0)</f>
        <v>0.06409672687</v>
      </c>
    </row>
    <row r="46">
      <c r="A46" s="16">
        <v>45782.0</v>
      </c>
      <c r="B46" s="19">
        <f>VLOOKUP(A46,'Data preparation'!A:K,6,0)</f>
        <v>0.007940366229</v>
      </c>
      <c r="C46" s="19">
        <f>VLOOKUP(A46,'Data preparation'!A:K,7,0)</f>
        <v>-0.03320942972</v>
      </c>
    </row>
    <row r="47">
      <c r="A47" s="16">
        <v>45775.0</v>
      </c>
      <c r="B47" s="19">
        <f>VLOOKUP(A47,'Data preparation'!A:K,6,0)</f>
        <v>0.1108339548</v>
      </c>
      <c r="C47" s="19">
        <f>VLOOKUP(A47,'Data preparation'!A:K,7,0)</f>
        <v>-0.01876469741</v>
      </c>
    </row>
    <row r="48">
      <c r="A48" s="16">
        <v>45768.0</v>
      </c>
      <c r="B48" s="19">
        <f>VLOOKUP(A48,'Data preparation'!A:K,6,0)</f>
        <v>0.06542645004</v>
      </c>
      <c r="C48" s="19">
        <f>VLOOKUP(A48,'Data preparation'!A:K,7,0)</f>
        <v>0.0624075868</v>
      </c>
    </row>
    <row r="49">
      <c r="A49" s="16">
        <v>45761.0</v>
      </c>
      <c r="B49" s="19">
        <f>VLOOKUP(A49,'Data preparation'!A:K,6,0)</f>
        <v>-0.05320363165</v>
      </c>
      <c r="C49" s="19">
        <f>VLOOKUP(A49,'Data preparation'!A:K,7,0)</f>
        <v>-0.005879669522</v>
      </c>
    </row>
    <row r="50">
      <c r="A50" s="16">
        <v>45754.0</v>
      </c>
      <c r="B50" s="19">
        <f>VLOOKUP(A50,'Data preparation'!A:K,6,0)</f>
        <v>0.07949931394</v>
      </c>
      <c r="C50" s="19">
        <f>VLOOKUP(A50,'Data preparation'!A:K,7,0)</f>
        <v>0.05187673278</v>
      </c>
    </row>
    <row r="51">
      <c r="A51" s="16">
        <v>45747.0</v>
      </c>
      <c r="B51" s="19">
        <f>VLOOKUP(A51,'Data preparation'!A:K,6,0)</f>
        <v>-0.05003724197</v>
      </c>
      <c r="C51" s="19">
        <f>VLOOKUP(A51,'Data preparation'!A:K,7,0)</f>
        <v>-0.1354690021</v>
      </c>
    </row>
    <row r="52">
      <c r="A52" s="16">
        <v>45740.0</v>
      </c>
      <c r="B52" s="19">
        <f>VLOOKUP(A52,'Data preparation'!A:K,6,0)</f>
        <v>-0.03185763218</v>
      </c>
      <c r="C52" s="19">
        <f>VLOOKUP(A52,'Data preparation'!A:K,7,0)</f>
        <v>-0.001702558439</v>
      </c>
    </row>
    <row r="53">
      <c r="A53" s="16">
        <v>45733.0</v>
      </c>
      <c r="B53" s="19">
        <f>VLOOKUP(A53,'Data preparation'!A:K,6,0)</f>
        <v>0.00695002723</v>
      </c>
      <c r="C53" s="19">
        <f>VLOOKUP(A53,'Data preparation'!A:K,7,0)</f>
        <v>0.02239367708</v>
      </c>
    </row>
    <row r="54">
      <c r="A54" s="16">
        <v>45726.0</v>
      </c>
      <c r="B54" s="19" t="str">
        <f>VLOOKUP(A54,'Data preparation'!A:K,6,0)</f>
        <v/>
      </c>
      <c r="C54" s="19" t="str">
        <f>VLOOKUP(A54,'Data preparation'!A:K,7,0)</f>
        <v/>
      </c>
    </row>
    <row r="55">
      <c r="A55" s="16"/>
    </row>
    <row r="56">
      <c r="A56" s="20"/>
    </row>
    <row r="57">
      <c r="A57" s="21"/>
    </row>
    <row r="58">
      <c r="A58" s="21"/>
    </row>
    <row r="59">
      <c r="A59" s="20"/>
    </row>
    <row r="60">
      <c r="A60" s="20"/>
    </row>
    <row r="61">
      <c r="A61" s="20"/>
    </row>
    <row r="62">
      <c r="A62" s="20"/>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13"/>
    <col customWidth="1" min="5" max="5" width="40.38"/>
    <col customWidth="1" min="6" max="6" width="16.5"/>
    <col customWidth="1" min="7" max="7" width="14.0"/>
  </cols>
  <sheetData>
    <row r="1">
      <c r="A1" s="12" t="s">
        <v>0</v>
      </c>
      <c r="B1" s="23" t="s">
        <v>970</v>
      </c>
    </row>
    <row r="2">
      <c r="A2" s="16">
        <v>46090.0</v>
      </c>
      <c r="B2" s="19">
        <f>VLOOKUP(A2,'Data preparation'!A:K,6,0)</f>
        <v>0.001100352113</v>
      </c>
      <c r="D2" s="33" t="s">
        <v>989</v>
      </c>
      <c r="F2" s="34" t="s">
        <v>990</v>
      </c>
      <c r="G2" s="35" t="s">
        <v>991</v>
      </c>
      <c r="H2" s="36">
        <f>0.15/sqrt(54)</f>
        <v>0.02041241452</v>
      </c>
      <c r="I2" s="37">
        <f>H2</f>
        <v>0.02041241452</v>
      </c>
    </row>
    <row r="3">
      <c r="A3" s="16">
        <v>46083.0</v>
      </c>
      <c r="B3" s="19">
        <f>VLOOKUP(A3,'Data preparation'!A:K,6,0)</f>
        <v>0.04129958751</v>
      </c>
      <c r="E3" s="38"/>
      <c r="F3" s="39" t="s">
        <v>992</v>
      </c>
      <c r="G3" s="24"/>
    </row>
    <row r="4">
      <c r="A4" s="16">
        <v>46076.0</v>
      </c>
      <c r="B4" s="19">
        <f>VLOOKUP(A4,'Data preparation'!A:K,6,0)</f>
        <v>-0.009058108142</v>
      </c>
      <c r="E4" s="40"/>
      <c r="F4" s="39" t="s">
        <v>993</v>
      </c>
      <c r="G4" s="24"/>
    </row>
    <row r="5">
      <c r="A5" s="16">
        <v>46069.0</v>
      </c>
      <c r="B5" s="19">
        <f>VLOOKUP(A5,'Data preparation'!A:K,6,0)</f>
        <v>-0.01018955571</v>
      </c>
      <c r="D5" s="41"/>
      <c r="F5" s="24"/>
      <c r="G5" s="24"/>
    </row>
    <row r="6">
      <c r="A6" s="16">
        <v>46062.0</v>
      </c>
      <c r="B6" s="19">
        <f>VLOOKUP(A6,'Data preparation'!A:K,6,0)</f>
        <v>0.0004497413987</v>
      </c>
      <c r="D6" s="41"/>
      <c r="F6" s="42" t="s">
        <v>994</v>
      </c>
      <c r="G6" s="24"/>
    </row>
    <row r="7">
      <c r="A7" s="16">
        <v>46055.0</v>
      </c>
      <c r="B7" s="19">
        <f>VLOOKUP(A7,'Data preparation'!A:K,6,0)</f>
        <v>-0.06773660059</v>
      </c>
      <c r="D7" s="41"/>
      <c r="E7" s="43" t="s">
        <v>995</v>
      </c>
      <c r="F7" s="42" t="s">
        <v>996</v>
      </c>
      <c r="G7" s="24"/>
    </row>
    <row r="8">
      <c r="A8" s="16">
        <v>46048.0</v>
      </c>
      <c r="B8" s="19">
        <f>VLOOKUP(A8,'Data preparation'!A:K,6,0)</f>
        <v>-0.0765342339</v>
      </c>
      <c r="D8" s="41"/>
      <c r="E8" s="42" t="s">
        <v>997</v>
      </c>
      <c r="F8" s="42" t="s">
        <v>998</v>
      </c>
      <c r="G8" s="26">
        <v>52.0</v>
      </c>
    </row>
    <row r="9">
      <c r="A9" s="16">
        <v>46041.0</v>
      </c>
      <c r="B9" s="19">
        <f>VLOOKUP(A9,'Data preparation'!A:K,6,0)</f>
        <v>0.01325167281</v>
      </c>
      <c r="D9" s="41"/>
      <c r="E9" s="43" t="s">
        <v>999</v>
      </c>
      <c r="F9" s="42" t="s">
        <v>1000</v>
      </c>
      <c r="G9" s="24">
        <f>_xlfn.STDEV.S(B2:B53)</f>
        <v>0.03513827378</v>
      </c>
    </row>
    <row r="10">
      <c r="A10" s="16">
        <v>46034.0</v>
      </c>
      <c r="B10" s="19">
        <f>VLOOKUP(A10,'Data preparation'!A:K,6,0)</f>
        <v>-0.04052782367</v>
      </c>
      <c r="D10" s="41"/>
      <c r="E10" s="42" t="s">
        <v>1001</v>
      </c>
      <c r="F10" s="42" t="s">
        <v>1002</v>
      </c>
      <c r="G10" s="44">
        <f>H2</f>
        <v>0.02041241452</v>
      </c>
    </row>
    <row r="11">
      <c r="A11" s="16">
        <v>46027.0</v>
      </c>
      <c r="B11" s="19">
        <f>VLOOKUP(A11,'Data preparation'!A:K,6,0)</f>
        <v>0.01341499597</v>
      </c>
      <c r="D11" s="45"/>
      <c r="F11" s="42" t="s">
        <v>1003</v>
      </c>
      <c r="G11" s="26">
        <v>0.05</v>
      </c>
    </row>
    <row r="12">
      <c r="A12" s="16">
        <v>46020.0</v>
      </c>
      <c r="B12" s="19">
        <f>VLOOKUP(A12,'Data preparation'!A:K,6,0)</f>
        <v>-0.0302918208</v>
      </c>
      <c r="D12" s="41"/>
      <c r="E12" s="46" t="s">
        <v>1004</v>
      </c>
      <c r="F12" s="42" t="s">
        <v>1005</v>
      </c>
      <c r="G12" s="24">
        <f>G8-1</f>
        <v>51</v>
      </c>
    </row>
    <row r="13">
      <c r="A13" s="16">
        <v>46013.0</v>
      </c>
      <c r="B13" s="19">
        <f>VLOOKUP(A13,'Data preparation'!A:K,6,0)</f>
        <v>0.003692168066</v>
      </c>
      <c r="D13" s="41"/>
      <c r="F13" s="42" t="s">
        <v>1006</v>
      </c>
      <c r="G13" s="24">
        <f t="shared" ref="G13:G14" si="1">G9^2</f>
        <v>0.001234698284</v>
      </c>
    </row>
    <row r="14">
      <c r="A14" s="16">
        <v>46006.0</v>
      </c>
      <c r="B14" s="19">
        <f>VLOOKUP(A14,'Data preparation'!A:K,6,0)</f>
        <v>0.01543649464</v>
      </c>
      <c r="D14" s="41"/>
      <c r="F14" s="42" t="s">
        <v>1007</v>
      </c>
      <c r="G14" s="24">
        <f t="shared" si="1"/>
        <v>0.0004166666667</v>
      </c>
    </row>
    <row r="15">
      <c r="A15" s="16">
        <v>45999.0</v>
      </c>
      <c r="B15" s="19">
        <f>VLOOKUP(A15,'Data preparation'!A:K,6,0)</f>
        <v>-0.009583869228</v>
      </c>
      <c r="D15" s="41"/>
      <c r="F15" s="42" t="s">
        <v>1008</v>
      </c>
      <c r="G15" s="24">
        <f>(G12*G13)/G14</f>
        <v>151.12707</v>
      </c>
    </row>
    <row r="16">
      <c r="A16" s="16">
        <v>45992.0</v>
      </c>
      <c r="B16" s="19">
        <f>VLOOKUP(A16,'Data preparation'!A:K,6,0)</f>
        <v>-0.01798773656</v>
      </c>
      <c r="F16" s="42" t="s">
        <v>1009</v>
      </c>
      <c r="G16" s="47">
        <f>_xlfn.CHISQ.DIST.RT(G15,G12)</f>
        <v>0</v>
      </c>
    </row>
    <row r="17">
      <c r="A17" s="16">
        <v>45985.0</v>
      </c>
      <c r="B17" s="19">
        <f>VLOOKUP(A17,'Data preparation'!A:K,6,0)</f>
        <v>0.04409137315</v>
      </c>
    </row>
    <row r="18">
      <c r="A18" s="16">
        <v>45978.0</v>
      </c>
      <c r="B18" s="19">
        <f>VLOOKUP(A18,'Data preparation'!A:K,6,0)</f>
        <v>-0.07461570256</v>
      </c>
    </row>
    <row r="19">
      <c r="A19" s="16">
        <v>45971.0</v>
      </c>
      <c r="B19" s="19">
        <f>VLOOKUP(A19,'Data preparation'!A:K,6,0)</f>
        <v>0.02690193225</v>
      </c>
    </row>
    <row r="20">
      <c r="A20" s="16">
        <v>45964.0</v>
      </c>
      <c r="B20" s="19">
        <f>VLOOKUP(A20,'Data preparation'!A:K,6,0)</f>
        <v>-0.04054918843</v>
      </c>
    </row>
    <row r="21">
      <c r="A21" s="16">
        <v>45957.0</v>
      </c>
      <c r="B21" s="19">
        <f>VLOOKUP(A21,'Data preparation'!A:K,6,0)</f>
        <v>-0.01106551089</v>
      </c>
    </row>
    <row r="22">
      <c r="A22" s="16">
        <v>45950.0</v>
      </c>
      <c r="B22" s="19">
        <f>VLOOKUP(A22,'Data preparation'!A:K,6,0)</f>
        <v>0.01953270114</v>
      </c>
    </row>
    <row r="23">
      <c r="A23" s="16">
        <v>45943.0</v>
      </c>
      <c r="B23" s="19">
        <f>VLOOKUP(A23,'Data preparation'!A:K,6,0)</f>
        <v>0.005129313733</v>
      </c>
    </row>
    <row r="24">
      <c r="A24" s="16">
        <v>45936.0</v>
      </c>
      <c r="B24" s="19">
        <f>VLOOKUP(A24,'Data preparation'!A:K,6,0)</f>
        <v>-0.01236389045</v>
      </c>
    </row>
    <row r="25">
      <c r="A25" s="16">
        <v>45929.0</v>
      </c>
      <c r="B25" s="19">
        <f>VLOOKUP(A25,'Data preparation'!A:K,6,0)</f>
        <v>0.01152471826</v>
      </c>
    </row>
    <row r="26">
      <c r="A26" s="16">
        <v>45922.0</v>
      </c>
      <c r="B26" s="19">
        <f>VLOOKUP(A26,'Data preparation'!A:K,6,0)</f>
        <v>-0.01250508928</v>
      </c>
    </row>
    <row r="27">
      <c r="A27" s="16">
        <v>45915.0</v>
      </c>
      <c r="B27" s="19">
        <f>VLOOKUP(A27,'Data preparation'!A:K,6,0)</f>
        <v>0.0157545442</v>
      </c>
    </row>
    <row r="28">
      <c r="A28" s="16">
        <v>45908.0</v>
      </c>
      <c r="B28" s="19">
        <f>VLOOKUP(A28,'Data preparation'!A:K,6,0)</f>
        <v>0.03010447307</v>
      </c>
    </row>
    <row r="29">
      <c r="A29" s="16">
        <v>45901.0</v>
      </c>
      <c r="B29" s="19">
        <f>VLOOKUP(A29,'Data preparation'!A:K,6,0)</f>
        <v>-0.02306823362</v>
      </c>
    </row>
    <row r="30">
      <c r="A30" s="16">
        <v>45894.0</v>
      </c>
      <c r="B30" s="19">
        <f>VLOOKUP(A30,'Data preparation'!A:K,6,0)</f>
        <v>0.000575054531</v>
      </c>
    </row>
    <row r="31">
      <c r="A31" s="16">
        <v>45887.0</v>
      </c>
      <c r="B31" s="19">
        <f>VLOOKUP(A31,'Data preparation'!A:K,6,0)</f>
        <v>-0.02488543419</v>
      </c>
    </row>
    <row r="32">
      <c r="A32" s="16">
        <v>45880.0</v>
      </c>
      <c r="B32" s="19">
        <f>VLOOKUP(A32,'Data preparation'!A:K,6,0)</f>
        <v>-0.003564409849</v>
      </c>
    </row>
    <row r="33">
      <c r="A33" s="16">
        <v>45873.0</v>
      </c>
      <c r="B33" s="19">
        <f>VLOOKUP(A33,'Data preparation'!A:K,6,0)</f>
        <v>-0.003953327704</v>
      </c>
    </row>
    <row r="34">
      <c r="A34" s="16">
        <v>45866.0</v>
      </c>
      <c r="B34" s="19">
        <f>VLOOKUP(A34,'Data preparation'!A:K,6,0)</f>
        <v>0.02024513451</v>
      </c>
    </row>
    <row r="35">
      <c r="A35" s="16">
        <v>45859.0</v>
      </c>
      <c r="B35" s="19">
        <f>VLOOKUP(A35,'Data preparation'!A:K,6,0)</f>
        <v>0.007178071386</v>
      </c>
    </row>
    <row r="36">
      <c r="A36" s="16">
        <v>45852.0</v>
      </c>
      <c r="B36" s="19">
        <f>VLOOKUP(A36,'Data preparation'!A:K,6,0)</f>
        <v>0.01336903739</v>
      </c>
    </row>
    <row r="37">
      <c r="A37" s="16">
        <v>45845.0</v>
      </c>
      <c r="B37" s="19">
        <f>VLOOKUP(A37,'Data preparation'!A:K,6,0)</f>
        <v>0.008972497782</v>
      </c>
    </row>
    <row r="38">
      <c r="A38" s="16">
        <v>45838.0</v>
      </c>
      <c r="B38" s="19">
        <f>VLOOKUP(A38,'Data preparation'!A:K,6,0)</f>
        <v>0.005840837187</v>
      </c>
    </row>
    <row r="39">
      <c r="A39" s="16">
        <v>45831.0</v>
      </c>
      <c r="B39" s="19">
        <f>VLOOKUP(A39,'Data preparation'!A:K,6,0)</f>
        <v>0.03885049722</v>
      </c>
    </row>
    <row r="40">
      <c r="A40" s="16">
        <v>45824.0</v>
      </c>
      <c r="B40" s="19">
        <f>VLOOKUP(A40,'Data preparation'!A:K,6,0)</f>
        <v>0.005124729999</v>
      </c>
    </row>
    <row r="41">
      <c r="A41" s="16">
        <v>45817.0</v>
      </c>
      <c r="B41" s="19">
        <f>VLOOKUP(A41,'Data preparation'!A:K,6,0)</f>
        <v>0.009750673566</v>
      </c>
    </row>
    <row r="42">
      <c r="A42" s="16">
        <v>45810.0</v>
      </c>
      <c r="B42" s="19">
        <f>VLOOKUP(A42,'Data preparation'!A:K,6,0)</f>
        <v>0.02176097881</v>
      </c>
    </row>
    <row r="43">
      <c r="A43" s="16">
        <v>45803.0</v>
      </c>
      <c r="B43" s="19">
        <f>VLOOKUP(A43,'Data preparation'!A:K,6,0)</f>
        <v>0.02261048304</v>
      </c>
    </row>
    <row r="44">
      <c r="A44" s="16">
        <v>45796.0</v>
      </c>
      <c r="B44" s="19">
        <f>VLOOKUP(A44,'Data preparation'!A:K,6,0)</f>
        <v>-0.007186903864</v>
      </c>
    </row>
    <row r="45">
      <c r="A45" s="16">
        <v>45789.0</v>
      </c>
      <c r="B45" s="19">
        <f>VLOOKUP(A45,'Data preparation'!A:K,6,0)</f>
        <v>0.03541570969</v>
      </c>
    </row>
    <row r="46">
      <c r="A46" s="16">
        <v>45782.0</v>
      </c>
      <c r="B46" s="19">
        <f>VLOOKUP(A46,'Data preparation'!A:K,6,0)</f>
        <v>0.007940366229</v>
      </c>
    </row>
    <row r="47">
      <c r="A47" s="16">
        <v>45775.0</v>
      </c>
      <c r="B47" s="19">
        <f>VLOOKUP(A47,'Data preparation'!A:K,6,0)</f>
        <v>0.1108339548</v>
      </c>
    </row>
    <row r="48">
      <c r="A48" s="16">
        <v>45768.0</v>
      </c>
      <c r="B48" s="19">
        <f>VLOOKUP(A48,'Data preparation'!A:K,6,0)</f>
        <v>0.06542645004</v>
      </c>
    </row>
    <row r="49">
      <c r="A49" s="16">
        <v>45761.0</v>
      </c>
      <c r="B49" s="19">
        <f>VLOOKUP(A49,'Data preparation'!A:K,6,0)</f>
        <v>-0.05320363165</v>
      </c>
    </row>
    <row r="50">
      <c r="A50" s="16">
        <v>45754.0</v>
      </c>
      <c r="B50" s="19">
        <f>VLOOKUP(A50,'Data preparation'!A:K,6,0)</f>
        <v>0.07949931394</v>
      </c>
    </row>
    <row r="51">
      <c r="A51" s="16">
        <v>45747.0</v>
      </c>
      <c r="B51" s="19">
        <f>VLOOKUP(A51,'Data preparation'!A:K,6,0)</f>
        <v>-0.05003724197</v>
      </c>
    </row>
    <row r="52">
      <c r="A52" s="16">
        <v>45740.0</v>
      </c>
      <c r="B52" s="19">
        <f>VLOOKUP(A52,'Data preparation'!A:K,6,0)</f>
        <v>-0.03185763218</v>
      </c>
    </row>
    <row r="53">
      <c r="A53" s="16">
        <v>45733.0</v>
      </c>
      <c r="B53" s="19">
        <f>VLOOKUP(A53,'Data preparation'!A:K,6,0)</f>
        <v>0.00695002723</v>
      </c>
    </row>
    <row r="54">
      <c r="A54" s="16">
        <v>45726.0</v>
      </c>
      <c r="B54" s="19" t="str">
        <f>VLOOKUP(A54,'Data preparation'!A:K,6,0)</f>
        <v/>
      </c>
    </row>
    <row r="55">
      <c r="A55" s="16"/>
    </row>
    <row r="56">
      <c r="A56" s="20"/>
    </row>
    <row r="57">
      <c r="A57" s="21"/>
    </row>
    <row r="58">
      <c r="A58" s="21"/>
    </row>
    <row r="59">
      <c r="A59" s="20"/>
    </row>
    <row r="60">
      <c r="A60" s="20"/>
    </row>
    <row r="61">
      <c r="A61" s="20"/>
    </row>
    <row r="62">
      <c r="A62" s="20"/>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D2:E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38"/>
    <col customWidth="1" min="7" max="7" width="16.5"/>
    <col customWidth="1" min="8" max="8" width="15.13"/>
    <col customWidth="1" min="9" max="9" width="18.63"/>
  </cols>
  <sheetData>
    <row r="1">
      <c r="A1" s="12" t="s">
        <v>0</v>
      </c>
      <c r="B1" s="23" t="s">
        <v>962</v>
      </c>
      <c r="D1" s="48" t="s">
        <v>1010</v>
      </c>
      <c r="H1" s="34" t="s">
        <v>990</v>
      </c>
      <c r="I1" s="35" t="s">
        <v>991</v>
      </c>
      <c r="J1" s="49">
        <f>0.15/sqrt(54)</f>
        <v>0.02041241452</v>
      </c>
      <c r="K1" s="50">
        <f>J1</f>
        <v>0.02041241452</v>
      </c>
    </row>
    <row r="2">
      <c r="A2" s="16">
        <v>46090.0</v>
      </c>
      <c r="B2" s="19">
        <f>VLOOKUP(A2,'Data preparation'!A:K,7,0)</f>
        <v>0.009399518372</v>
      </c>
      <c r="H2" s="39" t="s">
        <v>992</v>
      </c>
      <c r="I2" s="24"/>
    </row>
    <row r="3">
      <c r="A3" s="16">
        <v>46083.0</v>
      </c>
      <c r="B3" s="19">
        <f>VLOOKUP(A3,'Data preparation'!A:K,7,0)</f>
        <v>-0.02543720191</v>
      </c>
      <c r="H3" s="39" t="s">
        <v>993</v>
      </c>
      <c r="I3" s="24"/>
    </row>
    <row r="4">
      <c r="A4" s="16">
        <v>46076.0</v>
      </c>
      <c r="B4" s="19">
        <f>VLOOKUP(A4,'Data preparation'!A:K,7,0)</f>
        <v>-0.00151183007</v>
      </c>
    </row>
    <row r="5">
      <c r="A5" s="16">
        <v>46069.0</v>
      </c>
      <c r="B5" s="19">
        <f>VLOOKUP(A5,'Data preparation'!A:K,7,0)</f>
        <v>0.03537606637</v>
      </c>
      <c r="H5" s="42" t="s">
        <v>994</v>
      </c>
    </row>
    <row r="6">
      <c r="A6" s="16">
        <v>46062.0</v>
      </c>
      <c r="B6" s="19">
        <f>VLOOKUP(A6,'Data preparation'!A:K,7,0)</f>
        <v>-0.08032822285</v>
      </c>
      <c r="H6" s="42" t="s">
        <v>996</v>
      </c>
    </row>
    <row r="7">
      <c r="A7" s="16">
        <v>46055.0</v>
      </c>
      <c r="B7" s="19">
        <f>VLOOKUP(A7,'Data preparation'!A:K,7,0)</f>
        <v>0.0718253356</v>
      </c>
      <c r="D7" s="43" t="s">
        <v>1011</v>
      </c>
      <c r="E7" s="51" t="s">
        <v>1004</v>
      </c>
      <c r="H7" s="42" t="s">
        <v>998</v>
      </c>
      <c r="I7" s="31">
        <v>52.0</v>
      </c>
    </row>
    <row r="8">
      <c r="A8" s="16">
        <v>46048.0</v>
      </c>
      <c r="B8" s="19">
        <f>VLOOKUP(A8,'Data preparation'!A:K,7,0)</f>
        <v>0.04612404665</v>
      </c>
      <c r="D8" s="42" t="s">
        <v>997</v>
      </c>
      <c r="H8" s="42" t="s">
        <v>1000</v>
      </c>
      <c r="I8" s="52">
        <f>_xlfn.STDEV.S(B2:B53)</f>
        <v>0.04324330928</v>
      </c>
    </row>
    <row r="9">
      <c r="A9" s="16">
        <v>46041.0</v>
      </c>
      <c r="B9" s="19">
        <f>VLOOKUP(A9,'Data preparation'!A:K,7,0)</f>
        <v>-0.02930001175</v>
      </c>
      <c r="D9" s="43" t="s">
        <v>1012</v>
      </c>
      <c r="H9" s="42" t="s">
        <v>1002</v>
      </c>
      <c r="I9" s="53">
        <f>J1</f>
        <v>0.02041241452</v>
      </c>
    </row>
    <row r="10">
      <c r="A10" s="16">
        <v>46034.0</v>
      </c>
      <c r="B10" s="19">
        <f>VLOOKUP(A10,'Data preparation'!A:K,7,0)</f>
        <v>-0.01481881681</v>
      </c>
      <c r="D10" s="42" t="s">
        <v>1001</v>
      </c>
      <c r="H10" s="42" t="s">
        <v>1003</v>
      </c>
      <c r="I10" s="31">
        <v>0.05</v>
      </c>
    </row>
    <row r="11">
      <c r="A11" s="16">
        <v>46027.0</v>
      </c>
      <c r="B11" s="19">
        <f>VLOOKUP(A11,'Data preparation'!A:K,7,0)</f>
        <v>-0.04295316886</v>
      </c>
      <c r="H11" s="42" t="s">
        <v>1005</v>
      </c>
      <c r="I11" s="52">
        <f>I7-1</f>
        <v>51</v>
      </c>
    </row>
    <row r="12">
      <c r="A12" s="16">
        <v>46020.0</v>
      </c>
      <c r="B12" s="19">
        <f>VLOOKUP(A12,'Data preparation'!A:K,7,0)</f>
        <v>-0.008713480267</v>
      </c>
      <c r="D12" s="54"/>
      <c r="H12" s="42" t="s">
        <v>1006</v>
      </c>
      <c r="I12" s="52">
        <f t="shared" ref="I12:I13" si="1">I8^2</f>
        <v>0.001869983798</v>
      </c>
    </row>
    <row r="13">
      <c r="A13" s="16">
        <v>46013.0</v>
      </c>
      <c r="B13" s="19">
        <f>VLOOKUP(A13,'Data preparation'!A:K,7,0)</f>
        <v>-0.0009875278885</v>
      </c>
      <c r="H13" s="42" t="s">
        <v>1007</v>
      </c>
      <c r="I13" s="52">
        <f t="shared" si="1"/>
        <v>0.0004166666667</v>
      </c>
    </row>
    <row r="14">
      <c r="A14" s="16">
        <v>46006.0</v>
      </c>
      <c r="B14" s="19">
        <f>VLOOKUP(A14,'Data preparation'!A:K,7,0)</f>
        <v>-0.0165815409</v>
      </c>
      <c r="H14" s="42" t="s">
        <v>1008</v>
      </c>
      <c r="I14" s="52">
        <f>(I11*I12)/I13</f>
        <v>228.8860168</v>
      </c>
    </row>
    <row r="15">
      <c r="A15" s="16">
        <v>45999.0</v>
      </c>
      <c r="B15" s="19">
        <f>VLOOKUP(A15,'Data preparation'!A:K,7,0)</f>
        <v>-0.001795203217</v>
      </c>
      <c r="H15" s="42" t="s">
        <v>1009</v>
      </c>
      <c r="I15" s="55">
        <f>_xlfn.CHISQ.DIST.RT(I14,I11)</f>
        <v>0</v>
      </c>
    </row>
    <row r="16">
      <c r="A16" s="16">
        <v>45992.0</v>
      </c>
      <c r="B16" s="19">
        <f>VLOOKUP(A16,'Data preparation'!A:K,7,0)</f>
        <v>-0.0002512653003</v>
      </c>
    </row>
    <row r="17">
      <c r="A17" s="16">
        <v>45985.0</v>
      </c>
      <c r="B17" s="19">
        <f>VLOOKUP(A17,'Data preparation'!A:K,7,0)</f>
        <v>0.02709777319</v>
      </c>
    </row>
    <row r="18">
      <c r="A18" s="16">
        <v>45978.0</v>
      </c>
      <c r="B18" s="19">
        <f>VLOOKUP(A18,'Data preparation'!A:K,7,0)</f>
        <v>-0.002390672699</v>
      </c>
    </row>
    <row r="19">
      <c r="A19" s="16">
        <v>45971.0</v>
      </c>
      <c r="B19" s="19">
        <f>VLOOKUP(A19,'Data preparation'!A:K,7,0)</f>
        <v>0.01466636811</v>
      </c>
    </row>
    <row r="20">
      <c r="A20" s="16">
        <v>45964.0</v>
      </c>
      <c r="B20" s="19">
        <f>VLOOKUP(A20,'Data preparation'!A:K,7,0)</f>
        <v>-0.007040687764</v>
      </c>
    </row>
    <row r="21">
      <c r="A21" s="16">
        <v>45957.0</v>
      </c>
      <c r="B21" s="19">
        <f>VLOOKUP(A21,'Data preparation'!A:K,7,0)</f>
        <v>0.02874351937</v>
      </c>
    </row>
    <row r="22">
      <c r="A22" s="16">
        <v>45950.0</v>
      </c>
      <c r="B22" s="19">
        <f>VLOOKUP(A22,'Data preparation'!A:K,7,0)</f>
        <v>0.0417378182</v>
      </c>
    </row>
    <row r="23">
      <c r="A23" s="16">
        <v>45943.0</v>
      </c>
      <c r="B23" s="19">
        <f>VLOOKUP(A23,'Data preparation'!A:K,7,0)</f>
        <v>0.02863562092</v>
      </c>
    </row>
    <row r="24">
      <c r="A24" s="16">
        <v>45936.0</v>
      </c>
      <c r="B24" s="19">
        <f>VLOOKUP(A24,'Data preparation'!A:K,7,0)</f>
        <v>-0.04943113424</v>
      </c>
    </row>
    <row r="25">
      <c r="A25" s="16">
        <v>45929.0</v>
      </c>
      <c r="B25" s="19">
        <f>VLOOKUP(A25,'Data preparation'!A:K,7,0)</f>
        <v>0.01004039691</v>
      </c>
    </row>
    <row r="26">
      <c r="A26" s="16">
        <v>45922.0</v>
      </c>
      <c r="B26" s="19">
        <f>VLOOKUP(A26,'Data preparation'!A:K,7,0)</f>
        <v>0.04056646125</v>
      </c>
    </row>
    <row r="27">
      <c r="A27" s="16">
        <v>45915.0</v>
      </c>
      <c r="B27" s="19">
        <f>VLOOKUP(A27,'Data preparation'!A:K,7,0)</f>
        <v>0.04883999658</v>
      </c>
    </row>
    <row r="28">
      <c r="A28" s="16">
        <v>45908.0</v>
      </c>
      <c r="B28" s="19">
        <f>VLOOKUP(A28,'Data preparation'!A:K,7,0)</f>
        <v>-0.02345023617</v>
      </c>
    </row>
    <row r="29">
      <c r="A29" s="16">
        <v>45901.0</v>
      </c>
      <c r="B29" s="19">
        <f>VLOOKUP(A29,'Data preparation'!A:K,7,0)</f>
        <v>0.03249892102</v>
      </c>
    </row>
    <row r="30">
      <c r="A30" s="16">
        <v>45894.0</v>
      </c>
      <c r="B30" s="19">
        <f>VLOOKUP(A30,'Data preparation'!A:K,7,0)</f>
        <v>0.01922315576</v>
      </c>
    </row>
    <row r="31">
      <c r="A31" s="16">
        <v>45887.0</v>
      </c>
      <c r="B31" s="19">
        <f>VLOOKUP(A31,'Data preparation'!A:K,7,0)</f>
        <v>-0.0154185976</v>
      </c>
    </row>
    <row r="32">
      <c r="A32" s="16">
        <v>45880.0</v>
      </c>
      <c r="B32" s="19">
        <f>VLOOKUP(A32,'Data preparation'!A:K,7,0)</f>
        <v>0.009796632408</v>
      </c>
    </row>
    <row r="33">
      <c r="A33" s="16">
        <v>45873.0</v>
      </c>
      <c r="B33" s="19">
        <f>VLOOKUP(A33,'Data preparation'!A:K,7,0)</f>
        <v>0.1332209942</v>
      </c>
    </row>
    <row r="34">
      <c r="A34" s="16">
        <v>45866.0</v>
      </c>
      <c r="B34" s="19">
        <f>VLOOKUP(A34,'Data preparation'!A:K,7,0)</f>
        <v>-0.05374478263</v>
      </c>
    </row>
    <row r="35">
      <c r="A35" s="16">
        <v>45859.0</v>
      </c>
      <c r="B35" s="19">
        <f>VLOOKUP(A35,'Data preparation'!A:K,7,0)</f>
        <v>0.01277666952</v>
      </c>
    </row>
    <row r="36">
      <c r="A36" s="16">
        <v>45852.0</v>
      </c>
      <c r="B36" s="19">
        <f>VLOOKUP(A36,'Data preparation'!A:K,7,0)</f>
        <v>0.00009500285009</v>
      </c>
    </row>
    <row r="37">
      <c r="A37" s="16">
        <v>45845.0</v>
      </c>
      <c r="B37" s="19">
        <f>VLOOKUP(A37,'Data preparation'!A:K,7,0)</f>
        <v>-0.01117895726</v>
      </c>
    </row>
    <row r="38">
      <c r="A38" s="16">
        <v>45838.0</v>
      </c>
      <c r="B38" s="19">
        <f>VLOOKUP(A38,'Data preparation'!A:K,7,0)</f>
        <v>0.06200428992</v>
      </c>
    </row>
    <row r="39">
      <c r="A39" s="16">
        <v>45831.0</v>
      </c>
      <c r="B39" s="19">
        <f>VLOOKUP(A39,'Data preparation'!A:K,7,0)</f>
        <v>0.000399221518</v>
      </c>
    </row>
    <row r="40">
      <c r="A40" s="16">
        <v>45824.0</v>
      </c>
      <c r="B40" s="19">
        <f>VLOOKUP(A40,'Data preparation'!A:K,7,0)</f>
        <v>0.02318100587</v>
      </c>
    </row>
    <row r="41">
      <c r="A41" s="16">
        <v>45817.0</v>
      </c>
      <c r="B41" s="19">
        <f>VLOOKUP(A41,'Data preparation'!A:K,7,0)</f>
        <v>-0.0366453517</v>
      </c>
    </row>
    <row r="42">
      <c r="A42" s="16">
        <v>45810.0</v>
      </c>
      <c r="B42" s="19">
        <f>VLOOKUP(A42,'Data preparation'!A:K,7,0)</f>
        <v>0.01528166201</v>
      </c>
    </row>
    <row r="43">
      <c r="A43" s="16">
        <v>45803.0</v>
      </c>
      <c r="B43" s="19">
        <f>VLOOKUP(A43,'Data preparation'!A:K,7,0)</f>
        <v>0.02855968769</v>
      </c>
    </row>
    <row r="44">
      <c r="A44" s="16">
        <v>45796.0</v>
      </c>
      <c r="B44" s="19">
        <f>VLOOKUP(A44,'Data preparation'!A:K,7,0)</f>
        <v>-0.07445088904</v>
      </c>
    </row>
    <row r="45">
      <c r="A45" s="16">
        <v>45789.0</v>
      </c>
      <c r="B45" s="19">
        <f>VLOOKUP(A45,'Data preparation'!A:K,7,0)</f>
        <v>0.06409672687</v>
      </c>
    </row>
    <row r="46">
      <c r="A46" s="16">
        <v>45782.0</v>
      </c>
      <c r="B46" s="19">
        <f>VLOOKUP(A46,'Data preparation'!A:K,7,0)</f>
        <v>-0.03320942972</v>
      </c>
    </row>
    <row r="47">
      <c r="A47" s="16">
        <v>45775.0</v>
      </c>
      <c r="B47" s="19">
        <f>VLOOKUP(A47,'Data preparation'!A:K,7,0)</f>
        <v>-0.01876469741</v>
      </c>
    </row>
    <row r="48">
      <c r="A48" s="16">
        <v>45768.0</v>
      </c>
      <c r="B48" s="19">
        <f>VLOOKUP(A48,'Data preparation'!A:K,7,0)</f>
        <v>0.0624075868</v>
      </c>
    </row>
    <row r="49">
      <c r="A49" s="16">
        <v>45761.0</v>
      </c>
      <c r="B49" s="19">
        <f>VLOOKUP(A49,'Data preparation'!A:K,7,0)</f>
        <v>-0.005879669522</v>
      </c>
    </row>
    <row r="50">
      <c r="A50" s="16">
        <v>45754.0</v>
      </c>
      <c r="B50" s="19">
        <f>VLOOKUP(A50,'Data preparation'!A:K,7,0)</f>
        <v>0.05187673278</v>
      </c>
    </row>
    <row r="51">
      <c r="A51" s="16">
        <v>45747.0</v>
      </c>
      <c r="B51" s="19">
        <f>VLOOKUP(A51,'Data preparation'!A:K,7,0)</f>
        <v>-0.1354690021</v>
      </c>
    </row>
    <row r="52">
      <c r="A52" s="16">
        <v>45740.0</v>
      </c>
      <c r="B52" s="19">
        <f>VLOOKUP(A52,'Data preparation'!A:K,7,0)</f>
        <v>-0.001702558439</v>
      </c>
    </row>
    <row r="53">
      <c r="A53" s="16">
        <v>45733.0</v>
      </c>
      <c r="B53" s="19">
        <f>VLOOKUP(A53,'Data preparation'!A:K,7,0)</f>
        <v>0.02239367708</v>
      </c>
    </row>
    <row r="54">
      <c r="A54" s="16">
        <v>45726.0</v>
      </c>
      <c r="B54" s="19" t="str">
        <f>VLOOKUP(A54,'Data preparation'!A:K,7,0)</f>
        <v/>
      </c>
    </row>
    <row r="55">
      <c r="A55" s="16"/>
    </row>
    <row r="56">
      <c r="A56" s="20"/>
    </row>
    <row r="57">
      <c r="A57" s="21"/>
    </row>
    <row r="58">
      <c r="A58" s="21"/>
    </row>
    <row r="59">
      <c r="A59" s="20"/>
    </row>
    <row r="60">
      <c r="A60" s="20"/>
    </row>
    <row r="61">
      <c r="A61" s="20"/>
    </row>
    <row r="62">
      <c r="A62" s="20"/>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2">
    <mergeCell ref="D1:G1"/>
    <mergeCell ref="E7:G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88"/>
    <col customWidth="1" min="8" max="8" width="13.25"/>
  </cols>
  <sheetData>
    <row r="1">
      <c r="A1" s="12" t="s">
        <v>0</v>
      </c>
      <c r="B1" s="23" t="s">
        <v>970</v>
      </c>
      <c r="C1" s="23" t="s">
        <v>962</v>
      </c>
      <c r="E1" s="56" t="s">
        <v>1013</v>
      </c>
    </row>
    <row r="2">
      <c r="A2" s="16">
        <v>46090.0</v>
      </c>
      <c r="B2" s="19">
        <f>VLOOKUP(A2,'Data preparation'!A:K,6,0)</f>
        <v>0.001100352113</v>
      </c>
      <c r="C2" s="19">
        <f>VLOOKUP(A2,'Data preparation'!A:K,7,0)</f>
        <v>0.009399518372</v>
      </c>
    </row>
    <row r="3">
      <c r="A3" s="16">
        <v>46083.0</v>
      </c>
      <c r="B3" s="19">
        <f>VLOOKUP(A3,'Data preparation'!A:K,6,0)</f>
        <v>0.04129958751</v>
      </c>
      <c r="C3" s="19">
        <f>VLOOKUP(A3,'Data preparation'!A:K,7,0)</f>
        <v>-0.02543720191</v>
      </c>
    </row>
    <row r="4">
      <c r="A4" s="16">
        <v>46076.0</v>
      </c>
      <c r="B4" s="19">
        <f>VLOOKUP(A4,'Data preparation'!A:K,6,0)</f>
        <v>-0.009058108142</v>
      </c>
      <c r="C4" s="19">
        <f>VLOOKUP(A4,'Data preparation'!A:K,7,0)</f>
        <v>-0.00151183007</v>
      </c>
    </row>
    <row r="5">
      <c r="A5" s="16">
        <v>46069.0</v>
      </c>
      <c r="B5" s="19">
        <f>VLOOKUP(A5,'Data preparation'!A:K,6,0)</f>
        <v>-0.01018955571</v>
      </c>
      <c r="C5" s="19">
        <f>VLOOKUP(A5,'Data preparation'!A:K,7,0)</f>
        <v>0.03537606637</v>
      </c>
    </row>
    <row r="6">
      <c r="A6" s="16">
        <v>46062.0</v>
      </c>
      <c r="B6" s="19">
        <f>VLOOKUP(A6,'Data preparation'!A:K,6,0)</f>
        <v>0.0004497413987</v>
      </c>
      <c r="C6" s="19">
        <f>VLOOKUP(A6,'Data preparation'!A:K,7,0)</f>
        <v>-0.08032822285</v>
      </c>
    </row>
    <row r="7">
      <c r="A7" s="16">
        <v>46055.0</v>
      </c>
      <c r="B7" s="19">
        <f>VLOOKUP(A7,'Data preparation'!A:K,6,0)</f>
        <v>-0.06773660059</v>
      </c>
      <c r="C7" s="19">
        <f>VLOOKUP(A7,'Data preparation'!A:K,7,0)</f>
        <v>0.0718253356</v>
      </c>
    </row>
    <row r="8">
      <c r="A8" s="16">
        <v>46048.0</v>
      </c>
      <c r="B8" s="19">
        <f>VLOOKUP(A8,'Data preparation'!A:K,6,0)</f>
        <v>-0.0765342339</v>
      </c>
      <c r="C8" s="19">
        <f>VLOOKUP(A8,'Data preparation'!A:K,7,0)</f>
        <v>0.04612404665</v>
      </c>
      <c r="E8" s="57" t="s">
        <v>1014</v>
      </c>
    </row>
    <row r="9">
      <c r="A9" s="16">
        <v>46041.0</v>
      </c>
      <c r="B9" s="19">
        <f>VLOOKUP(A9,'Data preparation'!A:K,6,0)</f>
        <v>0.01325167281</v>
      </c>
      <c r="C9" s="19">
        <f>VLOOKUP(A9,'Data preparation'!A:K,7,0)</f>
        <v>-0.02930001175</v>
      </c>
      <c r="E9" s="57" t="s">
        <v>1015</v>
      </c>
    </row>
    <row r="10">
      <c r="A10" s="16">
        <v>46034.0</v>
      </c>
      <c r="B10" s="19">
        <f>VLOOKUP(A10,'Data preparation'!A:K,6,0)</f>
        <v>-0.04052782367</v>
      </c>
      <c r="C10" s="19">
        <f>VLOOKUP(A10,'Data preparation'!A:K,7,0)</f>
        <v>-0.01481881681</v>
      </c>
      <c r="E10" s="58" t="s">
        <v>1016</v>
      </c>
      <c r="F10" s="52">
        <f>_xlfn.STDEV.S(B:B)</f>
        <v>0.03513827378</v>
      </c>
    </row>
    <row r="11">
      <c r="A11" s="16">
        <v>46027.0</v>
      </c>
      <c r="B11" s="19">
        <f>VLOOKUP(A11,'Data preparation'!A:K,6,0)</f>
        <v>0.01341499597</v>
      </c>
      <c r="C11" s="19">
        <f>VLOOKUP(A11,'Data preparation'!A:K,7,0)</f>
        <v>-0.04295316886</v>
      </c>
      <c r="E11" s="58" t="s">
        <v>1017</v>
      </c>
      <c r="F11" s="52">
        <f>_xlfn.STDEV.S(C:C)</f>
        <v>0.04324330928</v>
      </c>
    </row>
    <row r="12">
      <c r="A12" s="16">
        <v>46020.0</v>
      </c>
      <c r="B12" s="19">
        <f>VLOOKUP(A12,'Data preparation'!A:K,6,0)</f>
        <v>-0.0302918208</v>
      </c>
      <c r="C12" s="19">
        <f>VLOOKUP(A12,'Data preparation'!A:K,7,0)</f>
        <v>-0.008713480267</v>
      </c>
      <c r="E12" s="58" t="s">
        <v>1018</v>
      </c>
      <c r="F12" s="31">
        <v>52.0</v>
      </c>
    </row>
    <row r="13">
      <c r="A13" s="16">
        <v>46013.0</v>
      </c>
      <c r="B13" s="19">
        <f>VLOOKUP(A13,'Data preparation'!A:K,6,0)</f>
        <v>0.003692168066</v>
      </c>
      <c r="C13" s="19">
        <f>VLOOKUP(A13,'Data preparation'!A:K,7,0)</f>
        <v>-0.0009875278885</v>
      </c>
      <c r="E13" s="58" t="s">
        <v>1019</v>
      </c>
      <c r="F13" s="31">
        <v>52.0</v>
      </c>
    </row>
    <row r="14">
      <c r="A14" s="16">
        <v>46006.0</v>
      </c>
      <c r="B14" s="19">
        <f>VLOOKUP(A14,'Data preparation'!A:K,6,0)</f>
        <v>0.01543649464</v>
      </c>
      <c r="C14" s="19">
        <f>VLOOKUP(A14,'Data preparation'!A:K,7,0)</f>
        <v>-0.0165815409</v>
      </c>
      <c r="E14" s="58" t="s">
        <v>1020</v>
      </c>
      <c r="F14" s="53">
        <f t="shared" ref="F14:F15" si="1">F10^2</f>
        <v>0.001234698284</v>
      </c>
    </row>
    <row r="15">
      <c r="A15" s="16">
        <v>45999.0</v>
      </c>
      <c r="B15" s="19">
        <f>VLOOKUP(A15,'Data preparation'!A:K,6,0)</f>
        <v>-0.009583869228</v>
      </c>
      <c r="C15" s="19">
        <f>VLOOKUP(A15,'Data preparation'!A:K,7,0)</f>
        <v>-0.001795203217</v>
      </c>
      <c r="E15" s="58" t="s">
        <v>1021</v>
      </c>
      <c r="F15" s="53">
        <f t="shared" si="1"/>
        <v>0.001869983798</v>
      </c>
    </row>
    <row r="16">
      <c r="A16" s="16">
        <v>45992.0</v>
      </c>
      <c r="B16" s="19">
        <f>VLOOKUP(A16,'Data preparation'!A:K,6,0)</f>
        <v>-0.01798773656</v>
      </c>
      <c r="C16" s="19">
        <f>VLOOKUP(A16,'Data preparation'!A:K,7,0)</f>
        <v>-0.0002512653003</v>
      </c>
      <c r="E16" s="58" t="s">
        <v>1022</v>
      </c>
      <c r="F16" s="52">
        <f t="shared" ref="F16:F17" si="2">F12-1</f>
        <v>51</v>
      </c>
    </row>
    <row r="17">
      <c r="A17" s="16">
        <v>45985.0</v>
      </c>
      <c r="B17" s="19">
        <f>VLOOKUP(A17,'Data preparation'!A:K,6,0)</f>
        <v>0.04409137315</v>
      </c>
      <c r="C17" s="19">
        <f>VLOOKUP(A17,'Data preparation'!A:K,7,0)</f>
        <v>0.02709777319</v>
      </c>
      <c r="E17" s="58" t="s">
        <v>1023</v>
      </c>
      <c r="F17" s="52">
        <f t="shared" si="2"/>
        <v>51</v>
      </c>
    </row>
    <row r="18">
      <c r="A18" s="16">
        <v>45978.0</v>
      </c>
      <c r="B18" s="19">
        <f>VLOOKUP(A18,'Data preparation'!A:K,6,0)</f>
        <v>-0.07461570256</v>
      </c>
      <c r="C18" s="19">
        <f>VLOOKUP(A18,'Data preparation'!A:K,7,0)</f>
        <v>-0.002390672699</v>
      </c>
      <c r="E18" s="59" t="s">
        <v>1024</v>
      </c>
      <c r="F18" s="52">
        <f>F14/F15</f>
        <v>0.660272183</v>
      </c>
    </row>
    <row r="19">
      <c r="A19" s="16">
        <v>45971.0</v>
      </c>
      <c r="B19" s="19">
        <f>VLOOKUP(A19,'Data preparation'!A:K,6,0)</f>
        <v>0.02690193225</v>
      </c>
      <c r="C19" s="19">
        <f>VLOOKUP(A19,'Data preparation'!A:K,7,0)</f>
        <v>0.01466636811</v>
      </c>
      <c r="E19" s="59" t="s">
        <v>1025</v>
      </c>
      <c r="F19" s="52">
        <f>_xlfn.F.INV.RT(0.05,52,52)</f>
        <v>1.584704897</v>
      </c>
    </row>
    <row r="20">
      <c r="A20" s="16">
        <v>45964.0</v>
      </c>
      <c r="B20" s="19">
        <f>VLOOKUP(A20,'Data preparation'!A:K,6,0)</f>
        <v>-0.04054918843</v>
      </c>
      <c r="C20" s="19">
        <f>VLOOKUP(A20,'Data preparation'!A:K,7,0)</f>
        <v>-0.007040687764</v>
      </c>
      <c r="E20" s="59" t="s">
        <v>1009</v>
      </c>
      <c r="F20" s="52">
        <f>_xlfn.F.DIST.RT(F18,F16,F17)</f>
        <v>0.9291851176</v>
      </c>
    </row>
    <row r="21">
      <c r="A21" s="16">
        <v>45957.0</v>
      </c>
      <c r="B21" s="19">
        <f>VLOOKUP(A21,'Data preparation'!A:K,6,0)</f>
        <v>-0.01106551089</v>
      </c>
      <c r="C21" s="19">
        <f>VLOOKUP(A21,'Data preparation'!A:K,7,0)</f>
        <v>0.02874351937</v>
      </c>
      <c r="E21" s="60" t="s">
        <v>1026</v>
      </c>
      <c r="F21" s="61" t="s">
        <v>1027</v>
      </c>
      <c r="G21" s="62" t="s">
        <v>1028</v>
      </c>
    </row>
    <row r="22">
      <c r="A22" s="16">
        <v>45950.0</v>
      </c>
      <c r="B22" s="19">
        <f>VLOOKUP(A22,'Data preparation'!A:K,6,0)</f>
        <v>0.01953270114</v>
      </c>
      <c r="C22" s="19">
        <f>VLOOKUP(A22,'Data preparation'!A:K,7,0)</f>
        <v>0.0417378182</v>
      </c>
      <c r="E22" s="60" t="s">
        <v>1029</v>
      </c>
      <c r="F22" s="61" t="s">
        <v>1030</v>
      </c>
      <c r="G22" s="62" t="s">
        <v>1028</v>
      </c>
    </row>
    <row r="23">
      <c r="A23" s="16">
        <v>45943.0</v>
      </c>
      <c r="B23" s="19">
        <f>VLOOKUP(A23,'Data preparation'!A:K,6,0)</f>
        <v>0.005129313733</v>
      </c>
      <c r="C23" s="19">
        <f>VLOOKUP(A23,'Data preparation'!A:K,7,0)</f>
        <v>0.02863562092</v>
      </c>
    </row>
    <row r="24">
      <c r="A24" s="16">
        <v>45936.0</v>
      </c>
      <c r="B24" s="19">
        <f>VLOOKUP(A24,'Data preparation'!A:K,6,0)</f>
        <v>-0.01236389045</v>
      </c>
      <c r="C24" s="19">
        <f>VLOOKUP(A24,'Data preparation'!A:K,7,0)</f>
        <v>-0.04943113424</v>
      </c>
      <c r="E24" s="63" t="s">
        <v>1031</v>
      </c>
    </row>
    <row r="25">
      <c r="A25" s="16">
        <v>45929.0</v>
      </c>
      <c r="B25" s="19">
        <f>VLOOKUP(A25,'Data preparation'!A:K,6,0)</f>
        <v>0.01152471826</v>
      </c>
      <c r="C25" s="19">
        <f>VLOOKUP(A25,'Data preparation'!A:K,7,0)</f>
        <v>0.01004039691</v>
      </c>
    </row>
    <row r="26">
      <c r="A26" s="16">
        <v>45922.0</v>
      </c>
      <c r="B26" s="19">
        <f>VLOOKUP(A26,'Data preparation'!A:K,6,0)</f>
        <v>-0.01250508928</v>
      </c>
      <c r="C26" s="19">
        <f>VLOOKUP(A26,'Data preparation'!A:K,7,0)</f>
        <v>0.04056646125</v>
      </c>
    </row>
    <row r="27">
      <c r="A27" s="16">
        <v>45915.0</v>
      </c>
      <c r="B27" s="19">
        <f>VLOOKUP(A27,'Data preparation'!A:K,6,0)</f>
        <v>0.0157545442</v>
      </c>
      <c r="C27" s="19">
        <f>VLOOKUP(A27,'Data preparation'!A:K,7,0)</f>
        <v>0.04883999658</v>
      </c>
    </row>
    <row r="28">
      <c r="A28" s="16">
        <v>45908.0</v>
      </c>
      <c r="B28" s="19">
        <f>VLOOKUP(A28,'Data preparation'!A:K,6,0)</f>
        <v>0.03010447307</v>
      </c>
      <c r="C28" s="19">
        <f>VLOOKUP(A28,'Data preparation'!A:K,7,0)</f>
        <v>-0.02345023617</v>
      </c>
    </row>
    <row r="29">
      <c r="A29" s="16">
        <v>45901.0</v>
      </c>
      <c r="B29" s="19">
        <f>VLOOKUP(A29,'Data preparation'!A:K,6,0)</f>
        <v>-0.02306823362</v>
      </c>
      <c r="C29" s="19">
        <f>VLOOKUP(A29,'Data preparation'!A:K,7,0)</f>
        <v>0.03249892102</v>
      </c>
    </row>
    <row r="30">
      <c r="A30" s="16">
        <v>45894.0</v>
      </c>
      <c r="B30" s="19">
        <f>VLOOKUP(A30,'Data preparation'!A:K,6,0)</f>
        <v>0.000575054531</v>
      </c>
      <c r="C30" s="19">
        <f>VLOOKUP(A30,'Data preparation'!A:K,7,0)</f>
        <v>0.01922315576</v>
      </c>
    </row>
    <row r="31">
      <c r="A31" s="16">
        <v>45887.0</v>
      </c>
      <c r="B31" s="19">
        <f>VLOOKUP(A31,'Data preparation'!A:K,6,0)</f>
        <v>-0.02488543419</v>
      </c>
      <c r="C31" s="19">
        <f>VLOOKUP(A31,'Data preparation'!A:K,7,0)</f>
        <v>-0.0154185976</v>
      </c>
    </row>
    <row r="32">
      <c r="A32" s="16">
        <v>45880.0</v>
      </c>
      <c r="B32" s="19">
        <f>VLOOKUP(A32,'Data preparation'!A:K,6,0)</f>
        <v>-0.003564409849</v>
      </c>
      <c r="C32" s="19">
        <f>VLOOKUP(A32,'Data preparation'!A:K,7,0)</f>
        <v>0.009796632408</v>
      </c>
    </row>
    <row r="33">
      <c r="A33" s="16">
        <v>45873.0</v>
      </c>
      <c r="B33" s="19">
        <f>VLOOKUP(A33,'Data preparation'!A:K,6,0)</f>
        <v>-0.003953327704</v>
      </c>
      <c r="C33" s="19">
        <f>VLOOKUP(A33,'Data preparation'!A:K,7,0)</f>
        <v>0.1332209942</v>
      </c>
    </row>
    <row r="34">
      <c r="A34" s="16">
        <v>45866.0</v>
      </c>
      <c r="B34" s="19">
        <f>VLOOKUP(A34,'Data preparation'!A:K,6,0)</f>
        <v>0.02024513451</v>
      </c>
      <c r="C34" s="19">
        <f>VLOOKUP(A34,'Data preparation'!A:K,7,0)</f>
        <v>-0.05374478263</v>
      </c>
    </row>
    <row r="35">
      <c r="A35" s="16">
        <v>45859.0</v>
      </c>
      <c r="B35" s="19">
        <f>VLOOKUP(A35,'Data preparation'!A:K,6,0)</f>
        <v>0.007178071386</v>
      </c>
      <c r="C35" s="19">
        <f>VLOOKUP(A35,'Data preparation'!A:K,7,0)</f>
        <v>0.01277666952</v>
      </c>
    </row>
    <row r="36">
      <c r="A36" s="16">
        <v>45852.0</v>
      </c>
      <c r="B36" s="19">
        <f>VLOOKUP(A36,'Data preparation'!A:K,6,0)</f>
        <v>0.01336903739</v>
      </c>
      <c r="C36" s="19">
        <f>VLOOKUP(A36,'Data preparation'!A:K,7,0)</f>
        <v>0.00009500285009</v>
      </c>
    </row>
    <row r="37">
      <c r="A37" s="16">
        <v>45845.0</v>
      </c>
      <c r="B37" s="19">
        <f>VLOOKUP(A37,'Data preparation'!A:K,6,0)</f>
        <v>0.008972497782</v>
      </c>
      <c r="C37" s="19">
        <f>VLOOKUP(A37,'Data preparation'!A:K,7,0)</f>
        <v>-0.01117895726</v>
      </c>
    </row>
    <row r="38">
      <c r="A38" s="16">
        <v>45838.0</v>
      </c>
      <c r="B38" s="19">
        <f>VLOOKUP(A38,'Data preparation'!A:K,6,0)</f>
        <v>0.005840837187</v>
      </c>
      <c r="C38" s="19">
        <f>VLOOKUP(A38,'Data preparation'!A:K,7,0)</f>
        <v>0.06200428992</v>
      </c>
    </row>
    <row r="39">
      <c r="A39" s="16">
        <v>45831.0</v>
      </c>
      <c r="B39" s="19">
        <f>VLOOKUP(A39,'Data preparation'!A:K,6,0)</f>
        <v>0.03885049722</v>
      </c>
      <c r="C39" s="19">
        <f>VLOOKUP(A39,'Data preparation'!A:K,7,0)</f>
        <v>0.000399221518</v>
      </c>
    </row>
    <row r="40">
      <c r="A40" s="16">
        <v>45824.0</v>
      </c>
      <c r="B40" s="19">
        <f>VLOOKUP(A40,'Data preparation'!A:K,6,0)</f>
        <v>0.005124729999</v>
      </c>
      <c r="C40" s="19">
        <f>VLOOKUP(A40,'Data preparation'!A:K,7,0)</f>
        <v>0.02318100587</v>
      </c>
    </row>
    <row r="41">
      <c r="A41" s="16">
        <v>45817.0</v>
      </c>
      <c r="B41" s="19">
        <f>VLOOKUP(A41,'Data preparation'!A:K,6,0)</f>
        <v>0.009750673566</v>
      </c>
      <c r="C41" s="19">
        <f>VLOOKUP(A41,'Data preparation'!A:K,7,0)</f>
        <v>-0.0366453517</v>
      </c>
    </row>
    <row r="42">
      <c r="A42" s="16">
        <v>45810.0</v>
      </c>
      <c r="B42" s="19">
        <f>VLOOKUP(A42,'Data preparation'!A:K,6,0)</f>
        <v>0.02176097881</v>
      </c>
      <c r="C42" s="19">
        <f>VLOOKUP(A42,'Data preparation'!A:K,7,0)</f>
        <v>0.01528166201</v>
      </c>
    </row>
    <row r="43">
      <c r="A43" s="16">
        <v>45803.0</v>
      </c>
      <c r="B43" s="19">
        <f>VLOOKUP(A43,'Data preparation'!A:K,6,0)</f>
        <v>0.02261048304</v>
      </c>
      <c r="C43" s="19">
        <f>VLOOKUP(A43,'Data preparation'!A:K,7,0)</f>
        <v>0.02855968769</v>
      </c>
    </row>
    <row r="44">
      <c r="A44" s="16">
        <v>45796.0</v>
      </c>
      <c r="B44" s="19">
        <f>VLOOKUP(A44,'Data preparation'!A:K,6,0)</f>
        <v>-0.007186903864</v>
      </c>
      <c r="C44" s="19">
        <f>VLOOKUP(A44,'Data preparation'!A:K,7,0)</f>
        <v>-0.07445088904</v>
      </c>
    </row>
    <row r="45">
      <c r="A45" s="16">
        <v>45789.0</v>
      </c>
      <c r="B45" s="19">
        <f>VLOOKUP(A45,'Data preparation'!A:K,6,0)</f>
        <v>0.03541570969</v>
      </c>
      <c r="C45" s="19">
        <f>VLOOKUP(A45,'Data preparation'!A:K,7,0)</f>
        <v>0.06409672687</v>
      </c>
    </row>
    <row r="46">
      <c r="A46" s="16">
        <v>45782.0</v>
      </c>
      <c r="B46" s="19">
        <f>VLOOKUP(A46,'Data preparation'!A:K,6,0)</f>
        <v>0.007940366229</v>
      </c>
      <c r="C46" s="19">
        <f>VLOOKUP(A46,'Data preparation'!A:K,7,0)</f>
        <v>-0.03320942972</v>
      </c>
    </row>
    <row r="47">
      <c r="A47" s="16">
        <v>45775.0</v>
      </c>
      <c r="B47" s="19">
        <f>VLOOKUP(A47,'Data preparation'!A:K,6,0)</f>
        <v>0.1108339548</v>
      </c>
      <c r="C47" s="19">
        <f>VLOOKUP(A47,'Data preparation'!A:K,7,0)</f>
        <v>-0.01876469741</v>
      </c>
    </row>
    <row r="48">
      <c r="A48" s="16">
        <v>45768.0</v>
      </c>
      <c r="B48" s="19">
        <f>VLOOKUP(A48,'Data preparation'!A:K,6,0)</f>
        <v>0.06542645004</v>
      </c>
      <c r="C48" s="19">
        <f>VLOOKUP(A48,'Data preparation'!A:K,7,0)</f>
        <v>0.0624075868</v>
      </c>
    </row>
    <row r="49">
      <c r="A49" s="16">
        <v>45761.0</v>
      </c>
      <c r="B49" s="19">
        <f>VLOOKUP(A49,'Data preparation'!A:K,6,0)</f>
        <v>-0.05320363165</v>
      </c>
      <c r="C49" s="19">
        <f>VLOOKUP(A49,'Data preparation'!A:K,7,0)</f>
        <v>-0.005879669522</v>
      </c>
    </row>
    <row r="50">
      <c r="A50" s="16">
        <v>45754.0</v>
      </c>
      <c r="B50" s="19">
        <f>VLOOKUP(A50,'Data preparation'!A:K,6,0)</f>
        <v>0.07949931394</v>
      </c>
      <c r="C50" s="19">
        <f>VLOOKUP(A50,'Data preparation'!A:K,7,0)</f>
        <v>0.05187673278</v>
      </c>
    </row>
    <row r="51">
      <c r="A51" s="16">
        <v>45747.0</v>
      </c>
      <c r="B51" s="19">
        <f>VLOOKUP(A51,'Data preparation'!A:K,6,0)</f>
        <v>-0.05003724197</v>
      </c>
      <c r="C51" s="19">
        <f>VLOOKUP(A51,'Data preparation'!A:K,7,0)</f>
        <v>-0.1354690021</v>
      </c>
    </row>
    <row r="52">
      <c r="A52" s="16">
        <v>45740.0</v>
      </c>
      <c r="B52" s="19">
        <f>VLOOKUP(A52,'Data preparation'!A:K,6,0)</f>
        <v>-0.03185763218</v>
      </c>
      <c r="C52" s="19">
        <f>VLOOKUP(A52,'Data preparation'!A:K,7,0)</f>
        <v>-0.001702558439</v>
      </c>
    </row>
    <row r="53">
      <c r="A53" s="16">
        <v>45733.0</v>
      </c>
      <c r="B53" s="19">
        <f>VLOOKUP(A53,'Data preparation'!A:K,6,0)</f>
        <v>0.00695002723</v>
      </c>
      <c r="C53" s="19">
        <f>VLOOKUP(A53,'Data preparation'!A:K,7,0)</f>
        <v>0.02239367708</v>
      </c>
    </row>
    <row r="54">
      <c r="A54" s="16">
        <v>45726.0</v>
      </c>
      <c r="B54" s="19" t="str">
        <f>VLOOKUP(A54,'Data preparation'!A:K,6,0)</f>
        <v/>
      </c>
      <c r="C54" s="19" t="str">
        <f>VLOOKUP(A54,'Data preparation'!A:K,7,0)</f>
        <v/>
      </c>
    </row>
    <row r="55">
      <c r="A55" s="16"/>
    </row>
    <row r="56">
      <c r="A56" s="20"/>
    </row>
    <row r="57">
      <c r="A57" s="21"/>
    </row>
    <row r="58">
      <c r="A58" s="21"/>
    </row>
    <row r="59">
      <c r="A59" s="20"/>
    </row>
    <row r="60">
      <c r="A60" s="20"/>
    </row>
    <row r="61">
      <c r="A61" s="20"/>
    </row>
    <row r="62">
      <c r="A62" s="20"/>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2">
    <mergeCell ref="E1:H6"/>
    <mergeCell ref="E24:G2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0</v>
      </c>
      <c r="B1" s="23" t="s">
        <v>970</v>
      </c>
      <c r="C1" s="23" t="s">
        <v>962</v>
      </c>
    </row>
    <row r="2">
      <c r="A2" s="16">
        <v>46090.0</v>
      </c>
      <c r="B2" s="19">
        <f>VLOOKUP(A2,'Data preparation'!A:K,6,0)</f>
        <v>0.001100352113</v>
      </c>
      <c r="C2" s="19">
        <f>VLOOKUP(A2,'Data preparation'!A:K,7,0)</f>
        <v>0.009399518372</v>
      </c>
    </row>
    <row r="3">
      <c r="A3" s="16">
        <v>46083.0</v>
      </c>
      <c r="B3" s="19">
        <f>VLOOKUP(A3,'Data preparation'!A:K,6,0)</f>
        <v>0.04129958751</v>
      </c>
      <c r="C3" s="19">
        <f>VLOOKUP(A3,'Data preparation'!A:K,7,0)</f>
        <v>-0.02543720191</v>
      </c>
    </row>
    <row r="4">
      <c r="A4" s="16">
        <v>46076.0</v>
      </c>
      <c r="B4" s="19">
        <f>VLOOKUP(A4,'Data preparation'!A:K,6,0)</f>
        <v>-0.009058108142</v>
      </c>
      <c r="C4" s="19">
        <f>VLOOKUP(A4,'Data preparation'!A:K,7,0)</f>
        <v>-0.00151183007</v>
      </c>
      <c r="F4" s="64" t="s">
        <v>1032</v>
      </c>
      <c r="H4" s="65"/>
      <c r="I4" s="65"/>
      <c r="J4" s="65"/>
      <c r="K4" s="65"/>
      <c r="L4" s="65"/>
      <c r="M4" s="65"/>
      <c r="N4" s="65"/>
    </row>
    <row r="5">
      <c r="A5" s="16">
        <v>46069.0</v>
      </c>
      <c r="B5" s="19">
        <f>VLOOKUP(A5,'Data preparation'!A:K,6,0)</f>
        <v>-0.01018955571</v>
      </c>
      <c r="C5" s="19">
        <f>VLOOKUP(A5,'Data preparation'!A:K,7,0)</f>
        <v>0.03537606637</v>
      </c>
      <c r="F5" s="65"/>
      <c r="G5" s="65"/>
      <c r="H5" s="65"/>
      <c r="I5" s="65"/>
      <c r="J5" s="65"/>
      <c r="K5" s="65"/>
      <c r="L5" s="65"/>
      <c r="M5" s="65"/>
      <c r="N5" s="65"/>
    </row>
    <row r="6">
      <c r="A6" s="16">
        <v>46062.0</v>
      </c>
      <c r="B6" s="19">
        <f>VLOOKUP(A6,'Data preparation'!A:K,6,0)</f>
        <v>0.0004497413987</v>
      </c>
      <c r="C6" s="19">
        <f>VLOOKUP(A6,'Data preparation'!A:K,7,0)</f>
        <v>-0.08032822285</v>
      </c>
      <c r="F6" s="66" t="s">
        <v>1033</v>
      </c>
      <c r="G6" s="67"/>
      <c r="H6" s="65"/>
      <c r="I6" s="65"/>
      <c r="J6" s="65"/>
      <c r="K6" s="65"/>
      <c r="L6" s="65"/>
      <c r="M6" s="65"/>
      <c r="N6" s="65"/>
    </row>
    <row r="7">
      <c r="A7" s="16">
        <v>46055.0</v>
      </c>
      <c r="B7" s="19">
        <f>VLOOKUP(A7,'Data preparation'!A:K,6,0)</f>
        <v>-0.06773660059</v>
      </c>
      <c r="C7" s="19">
        <f>VLOOKUP(A7,'Data preparation'!A:K,7,0)</f>
        <v>0.0718253356</v>
      </c>
      <c r="F7" s="64" t="s">
        <v>1034</v>
      </c>
      <c r="G7" s="68">
        <v>0.09635</v>
      </c>
      <c r="H7" s="65"/>
      <c r="I7" s="65"/>
      <c r="J7" s="65"/>
      <c r="K7" s="65"/>
      <c r="L7" s="65"/>
      <c r="M7" s="65"/>
      <c r="N7" s="65"/>
    </row>
    <row r="8">
      <c r="A8" s="16">
        <v>46048.0</v>
      </c>
      <c r="B8" s="19">
        <f>VLOOKUP(A8,'Data preparation'!A:K,6,0)</f>
        <v>-0.0765342339</v>
      </c>
      <c r="C8" s="19">
        <f>VLOOKUP(A8,'Data preparation'!A:K,7,0)</f>
        <v>0.04612404665</v>
      </c>
      <c r="F8" s="64" t="s">
        <v>1035</v>
      </c>
      <c r="G8" s="68">
        <v>0.009283</v>
      </c>
      <c r="H8" s="65"/>
      <c r="I8" s="65"/>
      <c r="J8" s="65"/>
      <c r="K8" s="65"/>
      <c r="L8" s="65"/>
      <c r="M8" s="65"/>
      <c r="N8" s="65"/>
    </row>
    <row r="9">
      <c r="A9" s="16">
        <v>46041.0</v>
      </c>
      <c r="B9" s="19">
        <f>VLOOKUP(A9,'Data preparation'!A:K,6,0)</f>
        <v>0.01325167281</v>
      </c>
      <c r="C9" s="19">
        <f>VLOOKUP(A9,'Data preparation'!A:K,7,0)</f>
        <v>-0.02930001175</v>
      </c>
      <c r="F9" s="64" t="s">
        <v>1036</v>
      </c>
      <c r="G9" s="68">
        <v>-0.01094</v>
      </c>
      <c r="H9" s="65"/>
      <c r="I9" s="65"/>
      <c r="J9" s="65"/>
      <c r="K9" s="65"/>
      <c r="L9" s="65"/>
      <c r="M9" s="65"/>
      <c r="N9" s="65"/>
    </row>
    <row r="10">
      <c r="A10" s="16">
        <v>46034.0</v>
      </c>
      <c r="B10" s="19">
        <f>VLOOKUP(A10,'Data preparation'!A:K,6,0)</f>
        <v>-0.04052782367</v>
      </c>
      <c r="C10" s="19">
        <f>VLOOKUP(A10,'Data preparation'!A:K,7,0)</f>
        <v>-0.01481881681</v>
      </c>
      <c r="F10" s="64" t="s">
        <v>1037</v>
      </c>
      <c r="G10" s="68">
        <v>0.035676</v>
      </c>
      <c r="H10" s="65"/>
      <c r="I10" s="65"/>
      <c r="J10" s="65"/>
      <c r="K10" s="65"/>
      <c r="L10" s="65"/>
      <c r="M10" s="65"/>
      <c r="N10" s="65"/>
    </row>
    <row r="11">
      <c r="A11" s="16">
        <v>46027.0</v>
      </c>
      <c r="B11" s="19">
        <f>VLOOKUP(A11,'Data preparation'!A:K,6,0)</f>
        <v>0.01341499597</v>
      </c>
      <c r="C11" s="19">
        <f>VLOOKUP(A11,'Data preparation'!A:K,7,0)</f>
        <v>-0.04295316886</v>
      </c>
      <c r="F11" s="69" t="s">
        <v>1038</v>
      </c>
      <c r="G11" s="70">
        <v>51.0</v>
      </c>
      <c r="H11" s="65"/>
      <c r="I11" s="65"/>
      <c r="J11" s="65"/>
      <c r="K11" s="65"/>
      <c r="L11" s="65"/>
      <c r="M11" s="65"/>
      <c r="N11" s="65"/>
    </row>
    <row r="12">
      <c r="A12" s="16">
        <v>46020.0</v>
      </c>
      <c r="B12" s="19">
        <f>VLOOKUP(A12,'Data preparation'!A:K,6,0)</f>
        <v>-0.0302918208</v>
      </c>
      <c r="C12" s="19">
        <f>VLOOKUP(A12,'Data preparation'!A:K,7,0)</f>
        <v>-0.008713480267</v>
      </c>
      <c r="F12" s="65"/>
      <c r="G12" s="65"/>
      <c r="H12" s="65"/>
      <c r="I12" s="65"/>
      <c r="J12" s="65"/>
      <c r="K12" s="65"/>
      <c r="L12" s="65"/>
      <c r="M12" s="65"/>
      <c r="N12" s="65"/>
    </row>
    <row r="13">
      <c r="A13" s="16">
        <v>46013.0</v>
      </c>
      <c r="B13" s="19">
        <f>VLOOKUP(A13,'Data preparation'!A:K,6,0)</f>
        <v>0.003692168066</v>
      </c>
      <c r="C13" s="19">
        <f>VLOOKUP(A13,'Data preparation'!A:K,7,0)</f>
        <v>-0.0009875278885</v>
      </c>
      <c r="F13" s="64" t="s">
        <v>1039</v>
      </c>
      <c r="G13" s="65"/>
      <c r="H13" s="65"/>
      <c r="I13" s="65"/>
      <c r="J13" s="65"/>
      <c r="K13" s="65"/>
      <c r="L13" s="65"/>
      <c r="M13" s="65"/>
      <c r="N13" s="65"/>
    </row>
    <row r="14">
      <c r="A14" s="16">
        <v>46006.0</v>
      </c>
      <c r="B14" s="19">
        <f>VLOOKUP(A14,'Data preparation'!A:K,6,0)</f>
        <v>0.01543649464</v>
      </c>
      <c r="C14" s="19">
        <f>VLOOKUP(A14,'Data preparation'!A:K,7,0)</f>
        <v>-0.0165815409</v>
      </c>
      <c r="F14" s="71"/>
      <c r="G14" s="66" t="s">
        <v>1040</v>
      </c>
      <c r="H14" s="66" t="s">
        <v>1041</v>
      </c>
      <c r="I14" s="66" t="s">
        <v>1042</v>
      </c>
      <c r="J14" s="66" t="s">
        <v>1043</v>
      </c>
      <c r="K14" s="66" t="s">
        <v>1044</v>
      </c>
      <c r="L14" s="65"/>
      <c r="M14" s="65"/>
      <c r="N14" s="65"/>
    </row>
    <row r="15">
      <c r="A15" s="16">
        <v>45999.0</v>
      </c>
      <c r="B15" s="19">
        <f>VLOOKUP(A15,'Data preparation'!A:K,6,0)</f>
        <v>-0.009583869228</v>
      </c>
      <c r="C15" s="19">
        <f>VLOOKUP(A15,'Data preparation'!A:K,7,0)</f>
        <v>-0.001795203217</v>
      </c>
      <c r="F15" s="64" t="s">
        <v>1045</v>
      </c>
      <c r="G15" s="68">
        <v>1.0</v>
      </c>
      <c r="H15" s="68">
        <v>5.84E-4</v>
      </c>
      <c r="I15" s="68">
        <v>5.84E-4</v>
      </c>
      <c r="J15" s="68">
        <v>0.459149</v>
      </c>
      <c r="K15" s="68">
        <v>0.501209</v>
      </c>
      <c r="L15" s="65"/>
      <c r="M15" s="65"/>
      <c r="N15" s="65"/>
    </row>
    <row r="16">
      <c r="A16" s="16">
        <v>45992.0</v>
      </c>
      <c r="B16" s="19">
        <f>VLOOKUP(A16,'Data preparation'!A:K,6,0)</f>
        <v>-0.01798773656</v>
      </c>
      <c r="C16" s="19">
        <f>VLOOKUP(A16,'Data preparation'!A:K,7,0)</f>
        <v>-0.0002512653003</v>
      </c>
      <c r="F16" s="64" t="s">
        <v>1046</v>
      </c>
      <c r="G16" s="68">
        <v>49.0</v>
      </c>
      <c r="H16" s="68">
        <v>0.062365</v>
      </c>
      <c r="I16" s="68">
        <v>0.001273</v>
      </c>
      <c r="J16" s="65"/>
      <c r="K16" s="65"/>
      <c r="L16" s="65"/>
      <c r="M16" s="65"/>
      <c r="N16" s="65"/>
    </row>
    <row r="17">
      <c r="A17" s="16">
        <v>45985.0</v>
      </c>
      <c r="B17" s="19">
        <f>VLOOKUP(A17,'Data preparation'!A:K,6,0)</f>
        <v>0.04409137315</v>
      </c>
      <c r="C17" s="19">
        <f>VLOOKUP(A17,'Data preparation'!A:K,7,0)</f>
        <v>0.02709777319</v>
      </c>
      <c r="F17" s="69" t="s">
        <v>1047</v>
      </c>
      <c r="G17" s="70">
        <v>50.0</v>
      </c>
      <c r="H17" s="70">
        <v>0.062949</v>
      </c>
      <c r="I17" s="72"/>
      <c r="J17" s="72"/>
      <c r="K17" s="72"/>
      <c r="L17" s="65"/>
      <c r="M17" s="65"/>
      <c r="N17" s="65"/>
    </row>
    <row r="18">
      <c r="A18" s="16">
        <v>45978.0</v>
      </c>
      <c r="B18" s="19">
        <f>VLOOKUP(A18,'Data preparation'!A:K,6,0)</f>
        <v>-0.07461570256</v>
      </c>
      <c r="C18" s="19">
        <f>VLOOKUP(A18,'Data preparation'!A:K,7,0)</f>
        <v>-0.002390672699</v>
      </c>
      <c r="F18" s="65"/>
      <c r="G18" s="65"/>
      <c r="H18" s="65"/>
      <c r="I18" s="65"/>
      <c r="J18" s="65"/>
      <c r="K18" s="65"/>
      <c r="L18" s="65"/>
      <c r="M18" s="65"/>
      <c r="N18" s="65"/>
    </row>
    <row r="19">
      <c r="A19" s="16">
        <v>45971.0</v>
      </c>
      <c r="B19" s="19">
        <f>VLOOKUP(A19,'Data preparation'!A:K,6,0)</f>
        <v>0.02690193225</v>
      </c>
      <c r="C19" s="19">
        <f>VLOOKUP(A19,'Data preparation'!A:K,7,0)</f>
        <v>0.01466636811</v>
      </c>
      <c r="F19" s="71"/>
      <c r="G19" s="66" t="s">
        <v>1048</v>
      </c>
      <c r="H19" s="66" t="s">
        <v>1037</v>
      </c>
      <c r="I19" s="66" t="s">
        <v>1049</v>
      </c>
      <c r="J19" s="66" t="s">
        <v>1050</v>
      </c>
      <c r="K19" s="66" t="s">
        <v>1051</v>
      </c>
      <c r="L19" s="66" t="s">
        <v>1052</v>
      </c>
      <c r="M19" s="66" t="s">
        <v>1053</v>
      </c>
      <c r="N19" s="66" t="s">
        <v>1054</v>
      </c>
    </row>
    <row r="20">
      <c r="A20" s="16">
        <v>45964.0</v>
      </c>
      <c r="B20" s="19">
        <f>VLOOKUP(A20,'Data preparation'!A:K,6,0)</f>
        <v>-0.04054918843</v>
      </c>
      <c r="C20" s="19">
        <f>VLOOKUP(A20,'Data preparation'!A:K,7,0)</f>
        <v>-0.007040687764</v>
      </c>
      <c r="F20" s="64" t="s">
        <v>1055</v>
      </c>
      <c r="G20" s="68">
        <v>0.001396</v>
      </c>
      <c r="H20" s="68">
        <v>0.005025</v>
      </c>
      <c r="I20" s="68">
        <v>0.277894</v>
      </c>
      <c r="J20" s="68">
        <v>0.782263</v>
      </c>
      <c r="K20" s="68">
        <v>-0.0087</v>
      </c>
      <c r="L20" s="68">
        <v>0.011495</v>
      </c>
      <c r="M20" s="68">
        <v>-0.0087</v>
      </c>
      <c r="N20" s="68">
        <v>0.011495</v>
      </c>
    </row>
    <row r="21">
      <c r="A21" s="16">
        <v>45957.0</v>
      </c>
      <c r="B21" s="19">
        <f>VLOOKUP(A21,'Data preparation'!A:K,6,0)</f>
        <v>-0.01106551089</v>
      </c>
      <c r="C21" s="19">
        <f>VLOOKUP(A21,'Data preparation'!A:K,7,0)</f>
        <v>0.02874351937</v>
      </c>
      <c r="F21" s="70">
        <v>0.0094</v>
      </c>
      <c r="G21" s="70">
        <v>0.078291</v>
      </c>
      <c r="H21" s="70">
        <v>0.11554</v>
      </c>
      <c r="I21" s="70">
        <v>0.677606</v>
      </c>
      <c r="J21" s="70">
        <v>0.501209</v>
      </c>
      <c r="K21" s="70">
        <v>-0.1539</v>
      </c>
      <c r="L21" s="70">
        <v>0.310478</v>
      </c>
      <c r="M21" s="70">
        <v>-0.1539</v>
      </c>
      <c r="N21" s="70">
        <v>0.310478</v>
      </c>
    </row>
    <row r="22">
      <c r="A22" s="16">
        <v>45950.0</v>
      </c>
      <c r="B22" s="19">
        <f>VLOOKUP(A22,'Data preparation'!A:K,6,0)</f>
        <v>0.01953270114</v>
      </c>
      <c r="C22" s="19">
        <f>VLOOKUP(A22,'Data preparation'!A:K,7,0)</f>
        <v>0.0417378182</v>
      </c>
      <c r="F22" s="65"/>
      <c r="G22" s="65"/>
      <c r="H22" s="65"/>
      <c r="I22" s="65"/>
      <c r="J22" s="65"/>
      <c r="K22" s="65"/>
      <c r="L22" s="65"/>
      <c r="M22" s="65"/>
      <c r="N22" s="65"/>
    </row>
    <row r="23">
      <c r="A23" s="16">
        <v>45943.0</v>
      </c>
      <c r="B23" s="19">
        <f>VLOOKUP(A23,'Data preparation'!A:K,6,0)</f>
        <v>0.005129313733</v>
      </c>
      <c r="C23" s="19">
        <f>VLOOKUP(A23,'Data preparation'!A:K,7,0)</f>
        <v>0.02863562092</v>
      </c>
    </row>
    <row r="24">
      <c r="A24" s="16">
        <v>45936.0</v>
      </c>
      <c r="B24" s="19">
        <f>VLOOKUP(A24,'Data preparation'!A:K,6,0)</f>
        <v>-0.01236389045</v>
      </c>
      <c r="C24" s="19">
        <f>VLOOKUP(A24,'Data preparation'!A:K,7,0)</f>
        <v>-0.04943113424</v>
      </c>
    </row>
    <row r="25">
      <c r="A25" s="16">
        <v>45929.0</v>
      </c>
      <c r="B25" s="19">
        <f>VLOOKUP(A25,'Data preparation'!A:K,6,0)</f>
        <v>0.01152471826</v>
      </c>
      <c r="C25" s="19">
        <f>VLOOKUP(A25,'Data preparation'!A:K,7,0)</f>
        <v>0.01004039691</v>
      </c>
    </row>
    <row r="26">
      <c r="A26" s="16">
        <v>45922.0</v>
      </c>
      <c r="B26" s="19">
        <f>VLOOKUP(A26,'Data preparation'!A:K,6,0)</f>
        <v>-0.01250508928</v>
      </c>
      <c r="C26" s="19">
        <f>VLOOKUP(A26,'Data preparation'!A:K,7,0)</f>
        <v>0.04056646125</v>
      </c>
    </row>
    <row r="27">
      <c r="A27" s="16">
        <v>45915.0</v>
      </c>
      <c r="B27" s="19">
        <f>VLOOKUP(A27,'Data preparation'!A:K,6,0)</f>
        <v>0.0157545442</v>
      </c>
      <c r="C27" s="19">
        <f>VLOOKUP(A27,'Data preparation'!A:K,7,0)</f>
        <v>0.04883999658</v>
      </c>
    </row>
    <row r="28">
      <c r="A28" s="16">
        <v>45908.0</v>
      </c>
      <c r="B28" s="19">
        <f>VLOOKUP(A28,'Data preparation'!A:K,6,0)</f>
        <v>0.03010447307</v>
      </c>
      <c r="C28" s="19">
        <f>VLOOKUP(A28,'Data preparation'!A:K,7,0)</f>
        <v>-0.02345023617</v>
      </c>
    </row>
    <row r="29">
      <c r="A29" s="16">
        <v>45901.0</v>
      </c>
      <c r="B29" s="19">
        <f>VLOOKUP(A29,'Data preparation'!A:K,6,0)</f>
        <v>-0.02306823362</v>
      </c>
      <c r="C29" s="19">
        <f>VLOOKUP(A29,'Data preparation'!A:K,7,0)</f>
        <v>0.03249892102</v>
      </c>
    </row>
    <row r="30">
      <c r="A30" s="16">
        <v>45894.0</v>
      </c>
      <c r="B30" s="19">
        <f>VLOOKUP(A30,'Data preparation'!A:K,6,0)</f>
        <v>0.000575054531</v>
      </c>
      <c r="C30" s="19">
        <f>VLOOKUP(A30,'Data preparation'!A:K,7,0)</f>
        <v>0.01922315576</v>
      </c>
    </row>
    <row r="31">
      <c r="A31" s="16">
        <v>45887.0</v>
      </c>
      <c r="B31" s="19">
        <f>VLOOKUP(A31,'Data preparation'!A:K,6,0)</f>
        <v>-0.02488543419</v>
      </c>
      <c r="C31" s="19">
        <f>VLOOKUP(A31,'Data preparation'!A:K,7,0)</f>
        <v>-0.0154185976</v>
      </c>
    </row>
    <row r="32">
      <c r="A32" s="16">
        <v>45880.0</v>
      </c>
      <c r="B32" s="19">
        <f>VLOOKUP(A32,'Data preparation'!A:K,6,0)</f>
        <v>-0.003564409849</v>
      </c>
      <c r="C32" s="19">
        <f>VLOOKUP(A32,'Data preparation'!A:K,7,0)</f>
        <v>0.009796632408</v>
      </c>
    </row>
    <row r="33">
      <c r="A33" s="16">
        <v>45873.0</v>
      </c>
      <c r="B33" s="19">
        <f>VLOOKUP(A33,'Data preparation'!A:K,6,0)</f>
        <v>-0.003953327704</v>
      </c>
      <c r="C33" s="19">
        <f>VLOOKUP(A33,'Data preparation'!A:K,7,0)</f>
        <v>0.1332209942</v>
      </c>
    </row>
    <row r="34">
      <c r="A34" s="16">
        <v>45866.0</v>
      </c>
      <c r="B34" s="19">
        <f>VLOOKUP(A34,'Data preparation'!A:K,6,0)</f>
        <v>0.02024513451</v>
      </c>
      <c r="C34" s="19">
        <f>VLOOKUP(A34,'Data preparation'!A:K,7,0)</f>
        <v>-0.05374478263</v>
      </c>
    </row>
    <row r="35">
      <c r="A35" s="16">
        <v>45859.0</v>
      </c>
      <c r="B35" s="19">
        <f>VLOOKUP(A35,'Data preparation'!A:K,6,0)</f>
        <v>0.007178071386</v>
      </c>
      <c r="C35" s="19">
        <f>VLOOKUP(A35,'Data preparation'!A:K,7,0)</f>
        <v>0.01277666952</v>
      </c>
    </row>
    <row r="36">
      <c r="A36" s="16">
        <v>45852.0</v>
      </c>
      <c r="B36" s="19">
        <f>VLOOKUP(A36,'Data preparation'!A:K,6,0)</f>
        <v>0.01336903739</v>
      </c>
      <c r="C36" s="19">
        <f>VLOOKUP(A36,'Data preparation'!A:K,7,0)</f>
        <v>0.00009500285009</v>
      </c>
    </row>
    <row r="37">
      <c r="A37" s="16">
        <v>45845.0</v>
      </c>
      <c r="B37" s="19">
        <f>VLOOKUP(A37,'Data preparation'!A:K,6,0)</f>
        <v>0.008972497782</v>
      </c>
      <c r="C37" s="19">
        <f>VLOOKUP(A37,'Data preparation'!A:K,7,0)</f>
        <v>-0.01117895726</v>
      </c>
    </row>
    <row r="38">
      <c r="A38" s="16">
        <v>45838.0</v>
      </c>
      <c r="B38" s="19">
        <f>VLOOKUP(A38,'Data preparation'!A:K,6,0)</f>
        <v>0.005840837187</v>
      </c>
      <c r="C38" s="19">
        <f>VLOOKUP(A38,'Data preparation'!A:K,7,0)</f>
        <v>0.06200428992</v>
      </c>
    </row>
    <row r="39">
      <c r="A39" s="16">
        <v>45831.0</v>
      </c>
      <c r="B39" s="19">
        <f>VLOOKUP(A39,'Data preparation'!A:K,6,0)</f>
        <v>0.03885049722</v>
      </c>
      <c r="C39" s="19">
        <f>VLOOKUP(A39,'Data preparation'!A:K,7,0)</f>
        <v>0.000399221518</v>
      </c>
    </row>
    <row r="40">
      <c r="A40" s="16">
        <v>45824.0</v>
      </c>
      <c r="B40" s="19">
        <f>VLOOKUP(A40,'Data preparation'!A:K,6,0)</f>
        <v>0.005124729999</v>
      </c>
      <c r="C40" s="19">
        <f>VLOOKUP(A40,'Data preparation'!A:K,7,0)</f>
        <v>0.02318100587</v>
      </c>
    </row>
    <row r="41">
      <c r="A41" s="16">
        <v>45817.0</v>
      </c>
      <c r="B41" s="19">
        <f>VLOOKUP(A41,'Data preparation'!A:K,6,0)</f>
        <v>0.009750673566</v>
      </c>
      <c r="C41" s="19">
        <f>VLOOKUP(A41,'Data preparation'!A:K,7,0)</f>
        <v>-0.0366453517</v>
      </c>
    </row>
    <row r="42">
      <c r="A42" s="16">
        <v>45810.0</v>
      </c>
      <c r="B42" s="19">
        <f>VLOOKUP(A42,'Data preparation'!A:K,6,0)</f>
        <v>0.02176097881</v>
      </c>
      <c r="C42" s="19">
        <f>VLOOKUP(A42,'Data preparation'!A:K,7,0)</f>
        <v>0.01528166201</v>
      </c>
    </row>
    <row r="43">
      <c r="A43" s="16">
        <v>45803.0</v>
      </c>
      <c r="B43" s="19">
        <f>VLOOKUP(A43,'Data preparation'!A:K,6,0)</f>
        <v>0.02261048304</v>
      </c>
      <c r="C43" s="19">
        <f>VLOOKUP(A43,'Data preparation'!A:K,7,0)</f>
        <v>0.02855968769</v>
      </c>
    </row>
    <row r="44">
      <c r="A44" s="16">
        <v>45796.0</v>
      </c>
      <c r="B44" s="19">
        <f>VLOOKUP(A44,'Data preparation'!A:K,6,0)</f>
        <v>-0.007186903864</v>
      </c>
      <c r="C44" s="19">
        <f>VLOOKUP(A44,'Data preparation'!A:K,7,0)</f>
        <v>-0.07445088904</v>
      </c>
    </row>
    <row r="45">
      <c r="A45" s="16">
        <v>45789.0</v>
      </c>
      <c r="B45" s="19">
        <f>VLOOKUP(A45,'Data preparation'!A:K,6,0)</f>
        <v>0.03541570969</v>
      </c>
      <c r="C45" s="19">
        <f>VLOOKUP(A45,'Data preparation'!A:K,7,0)</f>
        <v>0.06409672687</v>
      </c>
    </row>
    <row r="46">
      <c r="A46" s="16">
        <v>45782.0</v>
      </c>
      <c r="B46" s="19">
        <f>VLOOKUP(A46,'Data preparation'!A:K,6,0)</f>
        <v>0.007940366229</v>
      </c>
      <c r="C46" s="19">
        <f>VLOOKUP(A46,'Data preparation'!A:K,7,0)</f>
        <v>-0.03320942972</v>
      </c>
    </row>
    <row r="47">
      <c r="A47" s="16">
        <v>45775.0</v>
      </c>
      <c r="B47" s="19">
        <f>VLOOKUP(A47,'Data preparation'!A:K,6,0)</f>
        <v>0.1108339548</v>
      </c>
      <c r="C47" s="19">
        <f>VLOOKUP(A47,'Data preparation'!A:K,7,0)</f>
        <v>-0.01876469741</v>
      </c>
    </row>
    <row r="48">
      <c r="A48" s="16">
        <v>45768.0</v>
      </c>
      <c r="B48" s="19">
        <f>VLOOKUP(A48,'Data preparation'!A:K,6,0)</f>
        <v>0.06542645004</v>
      </c>
      <c r="C48" s="19">
        <f>VLOOKUP(A48,'Data preparation'!A:K,7,0)</f>
        <v>0.0624075868</v>
      </c>
    </row>
    <row r="49">
      <c r="A49" s="16">
        <v>45761.0</v>
      </c>
      <c r="B49" s="19">
        <f>VLOOKUP(A49,'Data preparation'!A:K,6,0)</f>
        <v>-0.05320363165</v>
      </c>
      <c r="C49" s="19">
        <f>VLOOKUP(A49,'Data preparation'!A:K,7,0)</f>
        <v>-0.005879669522</v>
      </c>
    </row>
    <row r="50">
      <c r="A50" s="16">
        <v>45754.0</v>
      </c>
      <c r="B50" s="19">
        <f>VLOOKUP(A50,'Data preparation'!A:K,6,0)</f>
        <v>0.07949931394</v>
      </c>
      <c r="C50" s="19">
        <f>VLOOKUP(A50,'Data preparation'!A:K,7,0)</f>
        <v>0.05187673278</v>
      </c>
    </row>
    <row r="51">
      <c r="A51" s="16">
        <v>45747.0</v>
      </c>
      <c r="B51" s="19">
        <f>VLOOKUP(A51,'Data preparation'!A:K,6,0)</f>
        <v>-0.05003724197</v>
      </c>
      <c r="C51" s="19">
        <f>VLOOKUP(A51,'Data preparation'!A:K,7,0)</f>
        <v>-0.1354690021</v>
      </c>
    </row>
    <row r="52">
      <c r="A52" s="16">
        <v>45740.0</v>
      </c>
      <c r="B52" s="19">
        <f>VLOOKUP(A52,'Data preparation'!A:K,6,0)</f>
        <v>-0.03185763218</v>
      </c>
      <c r="C52" s="19">
        <f>VLOOKUP(A52,'Data preparation'!A:K,7,0)</f>
        <v>-0.001702558439</v>
      </c>
    </row>
    <row r="53">
      <c r="A53" s="16">
        <v>45733.0</v>
      </c>
      <c r="B53" s="19">
        <f>VLOOKUP(A53,'Data preparation'!A:K,6,0)</f>
        <v>0.00695002723</v>
      </c>
      <c r="C53" s="19">
        <f>VLOOKUP(A53,'Data preparation'!A:K,7,0)</f>
        <v>0.02239367708</v>
      </c>
    </row>
    <row r="54">
      <c r="A54" s="16">
        <v>45726.0</v>
      </c>
      <c r="B54" s="19" t="str">
        <f>VLOOKUP(A54,'Data preparation'!A:K,6,0)</f>
        <v/>
      </c>
      <c r="C54" s="19" t="str">
        <f>VLOOKUP(A54,'Data preparation'!A:K,7,0)</f>
        <v/>
      </c>
    </row>
    <row r="55">
      <c r="A55" s="16"/>
    </row>
    <row r="56">
      <c r="A56" s="20"/>
    </row>
    <row r="57">
      <c r="A57" s="21"/>
    </row>
    <row r="58">
      <c r="A58" s="21"/>
    </row>
    <row r="59">
      <c r="A59" s="20"/>
    </row>
    <row r="60">
      <c r="A60" s="20"/>
    </row>
    <row r="61">
      <c r="A61" s="20"/>
    </row>
    <row r="62">
      <c r="A62" s="20"/>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2">
    <mergeCell ref="F4:G4"/>
    <mergeCell ref="F6:G6"/>
  </mergeCells>
  <drawing r:id="rId1"/>
</worksheet>
</file>